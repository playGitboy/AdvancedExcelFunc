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45" windowWidth="17235" windowHeight="6030" firstSheet="2" activeTab="2"/>
  </bookViews>
  <sheets>
    <sheet name="main" sheetId="1" r:id="rId1"/>
    <sheet name="sql" sheetId="10" r:id="rId2"/>
    <sheet name="myTEXTJOIN" sheetId="2" r:id="rId3"/>
    <sheet name="myRANDARRAY" sheetId="3" r:id="rId4"/>
    <sheet name="myXLOOKUP" sheetId="4" r:id="rId5"/>
    <sheet name="myUNIQUE" sheetId="5" r:id="rId6"/>
    <sheet name="myFILTER" sheetId="6" r:id="rId7"/>
    <sheet name="mySORT" sheetId="7" r:id="rId8"/>
    <sheet name="mySEQUENCE" sheetId="8" r:id="rId9"/>
    <sheet name="mySUMVALUE" sheetId="9" r:id="rId10"/>
    <sheet name="myNDimension" sheetId="11" r:id="rId11"/>
    <sheet name="myFAKER" sheetId="12" r:id="rId12"/>
    <sheet name="mySTACK" sheetId="13" r:id="rId13"/>
  </sheets>
  <functionGroups builtInGroupCount="17">
    <functionGroup name="xlwings"/>
  </functionGroups>
  <calcPr calcId="144525"/>
  <extLst>
    <ext xmlns:x14="http://schemas.microsoft.com/office/spreadsheetml/2009/9/main" uri="{8193D73E-4604-4355-AFF4-8A2333D13BE4}">
      <x14:definedNames>
        <x14:definedName name="myFAKER">
          <x14:argumentDescriptions count="3">
            <x14:argumentDescription index="0">行数</x14:argumentDescription>
            <x14:argumentDescription index="1">列数</x14:argumentDescription>
            <x14:argumentDescription index="2">name/ssn/address/company/email/phone_number...</x14:argumentDescription>
          </x14:argumentDescriptions>
        </x14:definedName>
        <x14:definedName name="myFILTER">
          <x14:argumentDescriptions count="3">
            <x14:argumentDescription index="0">数据区域</x14:argumentDescription>
            <x14:argumentDescription index="1">过滤条件</x14:argumentDescription>
            <x14:argumentDescription index="2">无数据返回值(默认空)</x14:argumentDescription>
          </x14:argumentDescriptions>
        </x14:definedName>
        <x14:definedName name="myNDimension">
          <x14:argumentDescriptions count="4">
            <x14:argumentDescription index="0">数据区域</x14:argumentDescription>
            <x14:argumentDescription index="1">行数</x14:argumentDescription>
            <x14:argumentDescription index="2">列数</x14:argumentDescription>
            <x14:argumentDescription index="3">0纵轴 1横轴(默认)</x14:argumentDescription>
          </x14:argumentDescriptions>
        </x14:definedName>
        <x14:definedName name="myRANDARRAY">
          <x14:argumentDescriptions count="5">
            <x14:argumentDescription index="0">行数</x14:argumentDescription>
            <x14:argumentDescription index="1">列数</x14:argumentDescription>
            <x14:argumentDescription index="2">最小值(默认无)</x14:argumentDescription>
            <x14:argumentDescription index="3">最大值(默认无)</x14:argumentDescription>
            <x14:argumentDescription index="4">0返回小数 1返回整数(设置取数范围时生效，默认为1)</x14:argumentDescription>
          </x14:argumentDescriptions>
        </x14:definedName>
        <x14:definedName name="mySEQUENCE">
          <x14:argumentDescriptions count="4">
            <x14:argumentDescription index="0">行数</x14:argumentDescription>
            <x14:argumentDescription index="1">列数(默认1)</x14:argumentDescription>
            <x14:argumentDescription index="2">起始值(默认1)</x14:argumentDescription>
            <x14:argumentDescription index="3">步进值(默认1)</x14:argumentDescription>
          </x14:argumentDescriptions>
        </x14:definedName>
        <x14:definedName name="mySORT">
          <x14:argumentDescriptions count="5">
            <x14:argumentDescription index="0">数据区域</x14:argumentDescription>
            <x14:argumentDescription index="1">按第几列排序(默认1)</x14:argumentDescription>
            <x14:argumentDescription index="2">0降序 1升序(默认)</x14:argumentDescription>
            <x14:argumentDescription index="3">0不包含标题 1包含标题(默认)</x14:argumentDescription>
            <x14:argumentDescription index="4">0按行排序(默认) 1按列排序</x14:argumentDescription>
          </x14:argumentDescriptions>
        </x14:definedName>
        <x14:definedName name="mySTACK">
          <x14:argumentDescriptions count="1">
            <x14:argumentDescription index="0">二维表数据区域（含首行/首列的标题）</x14:argumentDescription>
          </x14:argumentDescriptions>
        </x14:definedName>
        <x14:definedName name="mySUMVALUE">
          <x14:argumentDescriptions count="1">
            <x14:argumentDescription index="0">数据区域</x14:argumentDescription>
          </x14:argumentDescriptions>
        </x14:definedName>
        <x14:definedName name="myTEXTJOIN">
          <x14:argumentDescriptions count="3">
            <x14:argumentDescription index="0">分隔符</x14:argumentDescription>
            <x14:argumentDescription index="1">空白值 0保留 1忽略</x14:argumentDescription>
            <x14:argumentDescription index="2">待合并区域(支持多个区域)</x14:argumentDescription>
          </x14:argumentDescriptions>
        </x14:definedName>
        <x14:definedName name="myUNIQUE">
          <x14:argumentDescriptions count="3">
            <x14:argumentDescription index="0">数据区域</x14:argumentDescription>
            <x14:argumentDescription index="1">0按行筛选(默认) 1按列筛选</x14:argumentDescription>
            <x14:argumentDescription index="2">0提取全部不重复数据 1仅提取出现一次的数据(默认0)</x14:argumentDescription>
          </x14:argumentDescriptions>
        </x14:definedName>
        <x14:definedName name="myXLOOKUP">
          <x14:argumentDescriptions count="4">
            <x14:argumentDescription index="0">查找值</x14:argumentDescription>
            <x14:argumentDescription index="1">查找值所处数据区域</x14:argumentDescription>
            <x14:argumentDescription index="2">返回值所处数据区域</x14:argumentDescription>
            <x14:argumentDescription index="3">0返回最后一个匹配值 1返回第一个匹配值(默认)</x14:argumentDescription>
          </x14:argumentDescriptions>
        </x14:definedName>
        <x14:definedName name="myXLOOKUP2">
          <x14:argumentDescriptions count="5">
            <x14:argumentDescription index="0">查找值</x14:argumentDescription>
            <x14:argumentDescription index="1">查找值所处数据区域</x14:argumentDescription>
            <x14:argumentDescription index="2">返回值所处数据区域</x14:argumentDescription>
            <x14:argumentDescription index="3">0精确匹配(默认) -1匹配邻近较小值 1匹配邻近较大值</x14:argumentDescription>
            <x14:argumentDescription index="4">0返回全部匹配值 -1返回最后一个匹配值 1返回首个匹配值(默认)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7" i="9" l="1"/>
  <c r="C13" i="9"/>
  <c r="C17" i="9"/>
</calcChain>
</file>

<file path=xl/sharedStrings.xml><?xml version="1.0" encoding="utf-8"?>
<sst xmlns="http://schemas.openxmlformats.org/spreadsheetml/2006/main" count="587" uniqueCount="358">
  <si>
    <t>出口日期</t>
  </si>
  <si>
    <t>1596.0</t>
  </si>
  <si>
    <t>rmb离岸价</t>
  </si>
  <si>
    <t>3563.0</t>
  </si>
  <si>
    <t>69450.0</t>
  </si>
  <si>
    <t>400829.0</t>
  </si>
  <si>
    <t>382681.0</t>
  </si>
  <si>
    <t>341449.0</t>
  </si>
  <si>
    <t>357234.0</t>
  </si>
  <si>
    <t>396724.0</t>
  </si>
  <si>
    <t>835904.0</t>
  </si>
  <si>
    <t>359865.0</t>
  </si>
  <si>
    <t>391826.0</t>
  </si>
  <si>
    <t>2308977.0</t>
  </si>
  <si>
    <t>73754.0</t>
  </si>
  <si>
    <t>74958.0</t>
  </si>
  <si>
    <t>263196.0</t>
  </si>
  <si>
    <t>美国</t>
    <phoneticPr fontId="2" type="noConversion"/>
  </si>
  <si>
    <t>意大利</t>
    <phoneticPr fontId="2" type="noConversion"/>
  </si>
  <si>
    <t>法国</t>
    <phoneticPr fontId="2" type="noConversion"/>
  </si>
  <si>
    <t>英国</t>
    <phoneticPr fontId="2" type="noConversion"/>
  </si>
  <si>
    <t>西班牙</t>
    <phoneticPr fontId="2" type="noConversion"/>
  </si>
  <si>
    <t>出口国别</t>
    <phoneticPr fontId="2" type="noConversion"/>
  </si>
  <si>
    <t>表1</t>
  </si>
  <si>
    <t>角色</t>
  </si>
  <si>
    <t>岗位</t>
  </si>
  <si>
    <t>角色1</t>
  </si>
  <si>
    <t>岗位1</t>
  </si>
  <si>
    <t>岗位2</t>
  </si>
  <si>
    <t>岗位3</t>
  </si>
  <si>
    <t>岗位4</t>
  </si>
  <si>
    <t>角色2</t>
  </si>
  <si>
    <t>岗位5</t>
  </si>
  <si>
    <t>角色3</t>
  </si>
  <si>
    <t>岗位5</t>
    <phoneticPr fontId="5" type="noConversion"/>
  </si>
  <si>
    <t>岗位6</t>
    <phoneticPr fontId="5" type="noConversion"/>
  </si>
  <si>
    <t>表2</t>
  </si>
  <si>
    <t>姓名</t>
  </si>
  <si>
    <t>张三</t>
  </si>
  <si>
    <t>李四</t>
  </si>
  <si>
    <t>公式</t>
    <phoneticPr fontId="2" type="noConversion"/>
  </si>
  <si>
    <t>结果表</t>
    <phoneticPr fontId="2" type="noConversion"/>
  </si>
  <si>
    <t>语文</t>
  </si>
  <si>
    <t>数学</t>
  </si>
  <si>
    <t>总分</t>
  </si>
  <si>
    <t>李芳</t>
  </si>
  <si>
    <t>戚月珍</t>
  </si>
  <si>
    <t>戚美琳</t>
  </si>
  <si>
    <t>何计香</t>
  </si>
  <si>
    <t>曹冬灵</t>
  </si>
  <si>
    <t>秦丹</t>
  </si>
  <si>
    <t>mySORT(data_array, sort_index=1, sort_order=1, have_header=1, axis=0)</t>
  </si>
  <si>
    <t>{=mySORT(A1:D12,4)}</t>
    <phoneticPr fontId="2" type="noConversion"/>
  </si>
  <si>
    <t>{=mySORT(A1:D12,4,0,0,0)}</t>
    <phoneticPr fontId="2" type="noConversion"/>
  </si>
  <si>
    <t>{=mySORT(A10:D13,4,1,1,1)}</t>
    <phoneticPr fontId="2" type="noConversion"/>
  </si>
  <si>
    <t>myFILTER(data_array, include, if_empty="")</t>
  </si>
  <si>
    <t>总分</t>
    <phoneticPr fontId="2" type="noConversion"/>
  </si>
  <si>
    <t>{=mySEQUENCE(5)}</t>
  </si>
  <si>
    <t>{=mySEQUENCE(3,4)}</t>
  </si>
  <si>
    <t>mySEQUENCE(rows, columns=1, start=1, step=1)</t>
  </si>
  <si>
    <t>{=mySEQUENCE(3,3,5,2)}</t>
    <phoneticPr fontId="2" type="noConversion"/>
  </si>
  <si>
    <t>myTEXTJOIN(delimiter, ignore_empty, *datas)</t>
  </si>
  <si>
    <t>姓名</t>
    <phoneticPr fontId="2" type="noConversion"/>
  </si>
  <si>
    <t>魏春燕</t>
  </si>
  <si>
    <t>杨丹</t>
  </si>
  <si>
    <t>秦树平</t>
  </si>
  <si>
    <t>尤茜</t>
  </si>
  <si>
    <t>鲁秋菊</t>
  </si>
  <si>
    <t>身高</t>
    <phoneticPr fontId="2" type="noConversion"/>
  </si>
  <si>
    <t>忽略空值</t>
    <phoneticPr fontId="2" type="noConversion"/>
  </si>
  <si>
    <t>myRANDARRAY(rows, columns, iMin=None, iMax=None, bInt=1)</t>
  </si>
  <si>
    <t>{=myRANDARRAY(3,4)}</t>
  </si>
  <si>
    <t>{=myRANDARRAY(4,2,10,100)}</t>
  </si>
  <si>
    <t>{=myRANDARRAY(4,2,-10,10,0)}</t>
  </si>
  <si>
    <t>myUNIQUE(data_array, axis=0, exactly_once=0)</t>
  </si>
  <si>
    <t>{=myUNIQUE(A1:B10)}</t>
    <phoneticPr fontId="2" type="noConversion"/>
  </si>
  <si>
    <t>{=myUNIQUE(A1:B10,0,1)}</t>
    <phoneticPr fontId="2" type="noConversion"/>
  </si>
  <si>
    <t>mySUMVALUE(data_array)</t>
  </si>
  <si>
    <t>姓名</t>
    <phoneticPr fontId="2" type="noConversion"/>
  </si>
  <si>
    <t>身高</t>
    <phoneticPr fontId="2" type="noConversion"/>
  </si>
  <si>
    <t>水泥</t>
    <phoneticPr fontId="2" type="noConversion"/>
  </si>
  <si>
    <t>钢筋</t>
    <phoneticPr fontId="2" type="noConversion"/>
  </si>
  <si>
    <t>地板</t>
    <phoneticPr fontId="2" type="noConversion"/>
  </si>
  <si>
    <t>客厅</t>
    <phoneticPr fontId="2" type="noConversion"/>
  </si>
  <si>
    <t>卧室</t>
    <phoneticPr fontId="2" type="noConversion"/>
  </si>
  <si>
    <t>电线</t>
    <phoneticPr fontId="2" type="noConversion"/>
  </si>
  <si>
    <t>木地板</t>
    <phoneticPr fontId="2" type="noConversion"/>
  </si>
  <si>
    <t>卫生间</t>
    <phoneticPr fontId="2" type="noConversion"/>
  </si>
  <si>
    <t>防水材料</t>
    <phoneticPr fontId="2" type="noConversion"/>
  </si>
  <si>
    <t>瓷砖</t>
    <phoneticPr fontId="2" type="noConversion"/>
  </si>
  <si>
    <t>浴霸</t>
    <phoneticPr fontId="2" type="noConversion"/>
  </si>
  <si>
    <t>插座</t>
    <phoneticPr fontId="2" type="noConversion"/>
  </si>
  <si>
    <t>小计</t>
    <phoneticPr fontId="2" type="noConversion"/>
  </si>
  <si>
    <t>总计</t>
    <phoneticPr fontId="2" type="noConversion"/>
  </si>
  <si>
    <t>备注</t>
    <phoneticPr fontId="2" type="noConversion"/>
  </si>
  <si>
    <t>包括餐厅</t>
    <phoneticPr fontId="2" type="noConversion"/>
  </si>
  <si>
    <t>预算</t>
    <phoneticPr fontId="2" type="noConversion"/>
  </si>
  <si>
    <t>主要材料</t>
    <phoneticPr fontId="2" type="noConversion"/>
  </si>
  <si>
    <t>区域</t>
    <phoneticPr fontId="2" type="noConversion"/>
  </si>
  <si>
    <t>网线</t>
    <phoneticPr fontId="2" type="noConversion"/>
  </si>
  <si>
    <t>布线总费用</t>
    <phoneticPr fontId="2" type="noConversion"/>
  </si>
  <si>
    <t>历史分</t>
    <phoneticPr fontId="2" type="noConversion"/>
  </si>
  <si>
    <t>班级</t>
    <phoneticPr fontId="2" type="noConversion"/>
  </si>
  <si>
    <t>一班</t>
    <phoneticPr fontId="2" type="noConversion"/>
  </si>
  <si>
    <t>二班</t>
    <phoneticPr fontId="2" type="noConversion"/>
  </si>
  <si>
    <t>高级：查找二班姓"戚"同学的历史分</t>
    <phoneticPr fontId="2" type="noConversion"/>
  </si>
  <si>
    <t>{=myXLOOKUP(1,(LEFT($B$2:$B$10)="戚")*($C$2:$C$10="二班"),$D$2:$D$10)}</t>
    <phoneticPr fontId="2" type="noConversion"/>
  </si>
  <si>
    <t>身高</t>
    <phoneticPr fontId="2" type="noConversion"/>
  </si>
  <si>
    <t>件数</t>
    <phoneticPr fontId="2" type="noConversion"/>
  </si>
  <si>
    <t>折扣</t>
    <phoneticPr fontId="2" type="noConversion"/>
  </si>
  <si>
    <t>逆序查找</t>
    <phoneticPr fontId="2" type="noConversion"/>
  </si>
  <si>
    <t>返回多值</t>
    <phoneticPr fontId="2" type="noConversion"/>
  </si>
  <si>
    <t>模糊匹配</t>
    <phoneticPr fontId="2" type="noConversion"/>
  </si>
  <si>
    <t>多条件查找</t>
    <phoneticPr fontId="2" type="noConversion"/>
  </si>
  <si>
    <t>姓名</t>
    <phoneticPr fontId="2" type="noConversion"/>
  </si>
  <si>
    <t>班级</t>
    <phoneticPr fontId="2" type="noConversion"/>
  </si>
  <si>
    <t>结果</t>
    <phoneticPr fontId="2" type="noConversion"/>
  </si>
  <si>
    <t>=myXLOOKUP2(A15,B22:D22,B24:D24)</t>
    <phoneticPr fontId="2" type="noConversion"/>
  </si>
  <si>
    <t>横向查找</t>
    <phoneticPr fontId="2" type="noConversion"/>
  </si>
  <si>
    <t>批量查找</t>
    <phoneticPr fontId="2" type="noConversion"/>
  </si>
  <si>
    <t>myXLOOKUP(lookup_value, lookup_array, return_array, match_mode=0,search_mode=1)</t>
    <phoneticPr fontId="2" type="noConversion"/>
  </si>
  <si>
    <t>=myXLOOKUP("李芳",$B$1:$B$10,$A$1:$A$10,0,-1)</t>
    <phoneticPr fontId="2" type="noConversion"/>
  </si>
  <si>
    <t>=myXLOOKUP(A37,A28:A33,B28:B33,-1)</t>
    <phoneticPr fontId="2" type="noConversion"/>
  </si>
  <si>
    <t>=myXLOOKUP(A15:A19,B1:B10,D1:D10)</t>
    <phoneticPr fontId="2" type="noConversion"/>
  </si>
  <si>
    <t>=myXLOOKUP(A15,$B$2:$B$10,$C$2:$D$10)</t>
    <phoneticPr fontId="2" type="noConversion"/>
  </si>
  <si>
    <t>{=myXLOOKUP2(A15&amp;C15,B1:B10&amp;C1:C10,D1:D10)}</t>
    <phoneticPr fontId="2" type="noConversion"/>
  </si>
  <si>
    <t>三班</t>
    <phoneticPr fontId="2" type="noConversion"/>
  </si>
  <si>
    <t>二班</t>
    <phoneticPr fontId="2" type="noConversion"/>
  </si>
  <si>
    <t>=myXLOOKUP2(C15:D15,C1:D11,B1:B11)</t>
    <phoneticPr fontId="2" type="noConversion"/>
  </si>
  <si>
    <t>{=myUNIQUE(A17:F18,1,1)}</t>
    <phoneticPr fontId="2" type="noConversion"/>
  </si>
  <si>
    <t>身高</t>
    <phoneticPr fontId="2" type="noConversion"/>
  </si>
  <si>
    <t>{=myFILTER(A2:C7,B2:B7&lt;B10,"无数据！")}</t>
    <phoneticPr fontId="2" type="noConversion"/>
  </si>
  <si>
    <t>{=myFILTER(A1:C9,(B1:B9=B12)*(C1:C9=B13),"无数据！")}</t>
    <phoneticPr fontId="2" type="noConversion"/>
  </si>
  <si>
    <t>{=myFILTER(A1:C9,(B1:B9=B12)+(C1:C9=B13),"无数据！")}</t>
    <phoneticPr fontId="2" type="noConversion"/>
  </si>
  <si>
    <t>401280.0</t>
  </si>
  <si>
    <t>111689.6</t>
  </si>
  <si>
    <t>17453.7</t>
  </si>
  <si>
    <t>33440.0</t>
  </si>
  <si>
    <t>149777.0</t>
  </si>
  <si>
    <t>71394.4</t>
  </si>
  <si>
    <t>49319.93</t>
  </si>
  <si>
    <t>189663.54</t>
  </si>
  <si>
    <t>240366.72</t>
  </si>
  <si>
    <t>21579.12</t>
  </si>
  <si>
    <t>138575.36</t>
  </si>
  <si>
    <t>1041642.0</t>
  </si>
  <si>
    <t>109876.0</t>
  </si>
  <si>
    <t>879008.0</t>
  </si>
  <si>
    <t>1238488.71</t>
  </si>
  <si>
    <t>6914.8</t>
  </si>
  <si>
    <t>160278.0</t>
  </si>
  <si>
    <t>567600.0</t>
  </si>
  <si>
    <t>57972.35</t>
  </si>
  <si>
    <t>122636.14</t>
  </si>
  <si>
    <t>55889.14</t>
  </si>
  <si>
    <t>1.识别修改单元格格式，如日期、数字——否则影响公式、统计等；</t>
    <phoneticPr fontId="2" type="noConversion"/>
  </si>
  <si>
    <t>对左侧系统导出的数据，常见重复性操作如下：</t>
    <phoneticPr fontId="2" type="noConversion"/>
  </si>
  <si>
    <t>2.文本型数字应调整为数字；</t>
    <phoneticPr fontId="2" type="noConversion"/>
  </si>
  <si>
    <t>3.标题居中加粗等；</t>
    <phoneticPr fontId="2" type="noConversion"/>
  </si>
  <si>
    <t>4.字体字号等；</t>
    <phoneticPr fontId="2" type="noConversion"/>
  </si>
  <si>
    <t>5.删除个人信息；</t>
    <phoneticPr fontId="2" type="noConversion"/>
  </si>
  <si>
    <t>汇总</t>
    <phoneticPr fontId="2" type="noConversion"/>
  </si>
  <si>
    <t>2019-06-12 10:36:19.0</t>
  </si>
  <si>
    <t>2019-06-22 05:26:18.0</t>
  </si>
  <si>
    <t>2019-06-29 05:15:55.0</t>
  </si>
  <si>
    <t>2019-06-13 05:27:01.0</t>
  </si>
  <si>
    <t>2019-06-22 05:26:36.0</t>
  </si>
  <si>
    <t>2019-05-26 05:30:55.0</t>
  </si>
  <si>
    <t>2019-07-03 05:51:38.0</t>
  </si>
  <si>
    <t>2019-05-03 05:46:50.0</t>
  </si>
  <si>
    <t>2019-05-22 06:28:50.0</t>
  </si>
  <si>
    <t>2019-06-13 05:23:56.0</t>
  </si>
  <si>
    <t>2019-06-22 05:20:22.0</t>
  </si>
  <si>
    <t>2019-05-03 05:32:14.0</t>
  </si>
  <si>
    <t>2019-05-03 05:36:58.0</t>
  </si>
  <si>
    <t>2019-05-17 06:28:19.0</t>
  </si>
  <si>
    <t>2019-06-02 05:58:13.0</t>
  </si>
  <si>
    <t>2019-06-02 05:55:46.0</t>
  </si>
  <si>
    <t>2019-06-16 07:37:25.0</t>
  </si>
  <si>
    <t>2019-06-23 05:18:31.0</t>
  </si>
  <si>
    <t>2019-05-17 05:45:13.0</t>
  </si>
  <si>
    <t>2019-05-17 05:47:17.0</t>
  </si>
  <si>
    <t>2019-06-13 05:24:02.0</t>
  </si>
  <si>
    <t>销售额</t>
    <phoneticPr fontId="2" type="noConversion"/>
  </si>
  <si>
    <t>xlwings0.16+</t>
    <phoneticPr fontId="2" type="noConversion"/>
  </si>
  <si>
    <t>“Run main”的用法示例</t>
  </si>
  <si>
    <t>{=CHAR(mySEQUENCE(4,3,65,2))}</t>
    <phoneticPr fontId="2" type="noConversion"/>
  </si>
  <si>
    <t>分隔符连接文本</t>
  </si>
  <si>
    <t>生成随机数矩阵</t>
  </si>
  <si>
    <t>数据查找</t>
  </si>
  <si>
    <t>筛选不重复数据</t>
  </si>
  <si>
    <t>数据筛选</t>
  </si>
  <si>
    <t>数据排序</t>
  </si>
  <si>
    <t>生成等差序列数</t>
  </si>
  <si>
    <t>忽略公式汇总数字</t>
  </si>
  <si>
    <t>使用sql查询任意数据区域</t>
    <phoneticPr fontId="2" type="noConversion"/>
  </si>
  <si>
    <t>SQL1</t>
    <phoneticPr fontId="2" type="noConversion"/>
  </si>
  <si>
    <t>SQL2</t>
    <phoneticPr fontId="2" type="noConversion"/>
  </si>
  <si>
    <t>=sql(J6,A2:B12,A15:B19)</t>
    <phoneticPr fontId="2" type="noConversion"/>
  </si>
  <si>
    <t>select distinct b.姓名,a.岗位 from a,b where a.角色=b.角色 order by b.姓名</t>
    <phoneticPr fontId="2" type="noConversion"/>
  </si>
  <si>
    <t>select distinct b.姓名,a.岗位
from a,b
where a.角色=b.角色
order by b.姓名</t>
    <phoneticPr fontId="2" type="noConversion"/>
  </si>
  <si>
    <r>
      <rPr>
        <b/>
        <sz val="11"/>
        <color rgb="FF404040"/>
        <rFont val="宋体"/>
        <family val="3"/>
        <charset val="134"/>
        <scheme val="minor"/>
      </rPr>
      <t xml:space="preserve">=sql(SQL Statement, table a, table b, </t>
    </r>
    <r>
      <rPr>
        <b/>
        <sz val="11"/>
        <color rgb="FF666666"/>
        <rFont val="宋体"/>
        <family val="3"/>
        <charset val="134"/>
        <scheme val="minor"/>
      </rPr>
      <t>...</t>
    </r>
    <r>
      <rPr>
        <b/>
        <sz val="11"/>
        <color rgb="FF404040"/>
        <rFont val="宋体"/>
        <family val="3"/>
        <charset val="134"/>
        <scheme val="minor"/>
      </rPr>
      <t>)</t>
    </r>
    <phoneticPr fontId="2" type="noConversion"/>
  </si>
  <si>
    <t>按指定维度转换数据区域</t>
  </si>
  <si>
    <t>姓名</t>
    <phoneticPr fontId="2" type="noConversion"/>
  </si>
  <si>
    <t>身高</t>
    <phoneticPr fontId="2" type="noConversion"/>
  </si>
  <si>
    <t>评价</t>
    <phoneticPr fontId="2" type="noConversion"/>
  </si>
  <si>
    <t>分数</t>
    <phoneticPr fontId="2" type="noConversion"/>
  </si>
  <si>
    <t>差</t>
    <phoneticPr fontId="2" type="noConversion"/>
  </si>
  <si>
    <t>可</t>
    <phoneticPr fontId="2" type="noConversion"/>
  </si>
  <si>
    <t>尚</t>
    <phoneticPr fontId="2" type="noConversion"/>
  </si>
  <si>
    <t>良</t>
    <phoneticPr fontId="2" type="noConversion"/>
  </si>
  <si>
    <t>优</t>
    <phoneticPr fontId="2" type="noConversion"/>
  </si>
  <si>
    <t>李超</t>
    <phoneticPr fontId="2" type="noConversion"/>
  </si>
  <si>
    <t>分隔符</t>
    <phoneticPr fontId="2" type="noConversion"/>
  </si>
  <si>
    <t>,</t>
    <phoneticPr fontId="2" type="noConversion"/>
  </si>
  <si>
    <t>myNDimension(data_array, rows=0, columns=0, axis=1)</t>
  </si>
  <si>
    <t>随机生成测试数据</t>
  </si>
  <si>
    <t>address</t>
  </si>
  <si>
    <t>am_pm</t>
  </si>
  <si>
    <t>ascii_company_email</t>
  </si>
  <si>
    <t>ascii_email</t>
  </si>
  <si>
    <t>ascii_free_email</t>
  </si>
  <si>
    <t>ascii_safe_email</t>
  </si>
  <si>
    <t>binary</t>
  </si>
  <si>
    <t>boolean</t>
  </si>
  <si>
    <t>bs</t>
  </si>
  <si>
    <t>century</t>
  </si>
  <si>
    <t>city_suffix</t>
  </si>
  <si>
    <t>color_name</t>
  </si>
  <si>
    <t>company</t>
  </si>
  <si>
    <t>company_email</t>
  </si>
  <si>
    <t>company_prefix</t>
  </si>
  <si>
    <t>company_suffix</t>
  </si>
  <si>
    <t>country</t>
  </si>
  <si>
    <t>country_code</t>
  </si>
  <si>
    <t>credit_card_expire</t>
  </si>
  <si>
    <t>credit_card_full</t>
  </si>
  <si>
    <t>credit_card_number</t>
  </si>
  <si>
    <t>credit_card_provider</t>
  </si>
  <si>
    <t>credit_card_security_code</t>
  </si>
  <si>
    <t>currency_code</t>
  </si>
  <si>
    <t>date</t>
  </si>
  <si>
    <t>district</t>
  </si>
  <si>
    <t>domain_name</t>
  </si>
  <si>
    <t>domain_word</t>
  </si>
  <si>
    <t>email</t>
  </si>
  <si>
    <t>file_extension</t>
  </si>
  <si>
    <t>file_name</t>
  </si>
  <si>
    <t>file_path</t>
  </si>
  <si>
    <t>first_name</t>
  </si>
  <si>
    <t>first_name_female</t>
  </si>
  <si>
    <t>first_name_male</t>
  </si>
  <si>
    <t>first_romanized_name</t>
  </si>
  <si>
    <t>free_email</t>
  </si>
  <si>
    <t>free_email_domain</t>
  </si>
  <si>
    <t>future_date</t>
  </si>
  <si>
    <t>future_datetime</t>
  </si>
  <si>
    <t>geo_coordinate</t>
  </si>
  <si>
    <t>hex_color</t>
  </si>
  <si>
    <t>image_url</t>
  </si>
  <si>
    <t>ipv4</t>
  </si>
  <si>
    <t>ipv6</t>
  </si>
  <si>
    <t>isbn10</t>
  </si>
  <si>
    <t>isbn13</t>
  </si>
  <si>
    <t>job</t>
  </si>
  <si>
    <t>language_code</t>
  </si>
  <si>
    <t>last_name</t>
  </si>
  <si>
    <t>last_name_female</t>
  </si>
  <si>
    <t>last_name_male</t>
  </si>
  <si>
    <t>last_romanized_name</t>
  </si>
  <si>
    <t>latitude</t>
  </si>
  <si>
    <t>lexify</t>
  </si>
  <si>
    <t>locale</t>
  </si>
  <si>
    <t>longitude</t>
  </si>
  <si>
    <t>mac_address</t>
  </si>
  <si>
    <t>md5</t>
  </si>
  <si>
    <t>mime_type</t>
  </si>
  <si>
    <t>month</t>
  </si>
  <si>
    <t>month_name</t>
  </si>
  <si>
    <t>msisdn</t>
  </si>
  <si>
    <t>name</t>
  </si>
  <si>
    <t>name_female</t>
  </si>
  <si>
    <t>name_male</t>
  </si>
  <si>
    <t>null_boolean</t>
  </si>
  <si>
    <t>paragraph</t>
  </si>
  <si>
    <t>paragraphs</t>
  </si>
  <si>
    <t>password</t>
  </si>
  <si>
    <t>past_date</t>
  </si>
  <si>
    <t>past_datetime</t>
  </si>
  <si>
    <t>phone_number</t>
  </si>
  <si>
    <t>phonenumber_prefix</t>
  </si>
  <si>
    <t>postcode</t>
  </si>
  <si>
    <t>profile</t>
  </si>
  <si>
    <t>province</t>
  </si>
  <si>
    <t>pystr</t>
  </si>
  <si>
    <t>random_element</t>
  </si>
  <si>
    <t>random_letter</t>
  </si>
  <si>
    <t>rgb_color</t>
  </si>
  <si>
    <t>romanized_name</t>
  </si>
  <si>
    <t>safe_color_name</t>
  </si>
  <si>
    <t>safe_email</t>
  </si>
  <si>
    <t>safe_hex_color</t>
  </si>
  <si>
    <t>sentence</t>
  </si>
  <si>
    <t>sentences</t>
  </si>
  <si>
    <t>sha1</t>
  </si>
  <si>
    <t>sha256</t>
  </si>
  <si>
    <t>simple_profile</t>
  </si>
  <si>
    <t>ssn</t>
  </si>
  <si>
    <t>street_address</t>
  </si>
  <si>
    <t>street_name</t>
  </si>
  <si>
    <t>street_suffix</t>
  </si>
  <si>
    <t>text</t>
  </si>
  <si>
    <t>time</t>
  </si>
  <si>
    <t>timezone</t>
  </si>
  <si>
    <t>tld</t>
  </si>
  <si>
    <t>unix_time</t>
  </si>
  <si>
    <t>uri</t>
  </si>
  <si>
    <t>uri_extension</t>
  </si>
  <si>
    <t>uri_page</t>
  </si>
  <si>
    <t>uri_path</t>
  </si>
  <si>
    <t>url</t>
  </si>
  <si>
    <t>user_name</t>
  </si>
  <si>
    <t>uuid4</t>
  </si>
  <si>
    <t>word</t>
  </si>
  <si>
    <t>words</t>
  </si>
  <si>
    <t>year</t>
  </si>
  <si>
    <t>szType包括但不限于</t>
    <phoneticPr fontId="2" type="noConversion"/>
  </si>
  <si>
    <t>myFAKER(rows, columns=1, szType="name")</t>
    <phoneticPr fontId="2" type="noConversion"/>
  </si>
  <si>
    <t>=myFAKER(10,2,"country")</t>
  </si>
  <si>
    <t>姓名</t>
    <phoneticPr fontId="2" type="noConversion"/>
  </si>
  <si>
    <t>国别</t>
    <phoneticPr fontId="2" type="noConversion"/>
  </si>
  <si>
    <t>邮箱</t>
    <phoneticPr fontId="2" type="noConversion"/>
  </si>
  <si>
    <t>name</t>
    <phoneticPr fontId="2" type="noConversion"/>
  </si>
  <si>
    <t>ssn</t>
    <phoneticPr fontId="2" type="noConversion"/>
  </si>
  <si>
    <t>email</t>
    <phoneticPr fontId="2" type="noConversion"/>
  </si>
  <si>
    <t>用户名</t>
    <phoneticPr fontId="2" type="noConversion"/>
  </si>
  <si>
    <t>公司</t>
    <phoneticPr fontId="2" type="noConversion"/>
  </si>
  <si>
    <t>手机</t>
    <phoneticPr fontId="2" type="noConversion"/>
  </si>
  <si>
    <t>身份证</t>
    <phoneticPr fontId="2" type="noConversion"/>
  </si>
  <si>
    <t>=myFAKER(10,1,"ssn")</t>
    <phoneticPr fontId="2" type="noConversion"/>
  </si>
  <si>
    <t>国别</t>
  </si>
  <si>
    <t>国别</t>
    <phoneticPr fontId="2" type="noConversion"/>
  </si>
  <si>
    <t>越南</t>
  </si>
  <si>
    <t>中国</t>
  </si>
  <si>
    <t>马来西亚</t>
  </si>
  <si>
    <t>圣赫勒拿</t>
  </si>
  <si>
    <t>黎巴嫩</t>
  </si>
  <si>
    <t>诺福克岛</t>
  </si>
  <si>
    <t>意大利</t>
  </si>
  <si>
    <t>直布罗陀</t>
  </si>
  <si>
    <t>美国</t>
  </si>
  <si>
    <t>英国</t>
  </si>
  <si>
    <t>年度</t>
    <phoneticPr fontId="2" type="noConversion"/>
  </si>
  <si>
    <t>数量</t>
    <phoneticPr fontId="2" type="noConversion"/>
  </si>
  <si>
    <t>梁宇凡</t>
    <phoneticPr fontId="2" type="noConversion"/>
  </si>
  <si>
    <t>=myTEXTJOIN(",",F8,A2:B8)</t>
    <phoneticPr fontId="2" type="noConversion"/>
  </si>
  <si>
    <t>=myTEXTJOIN(F7,F8,A2:B3,A5:B5,A6:A8)</t>
    <phoneticPr fontId="2" type="noConversion"/>
  </si>
  <si>
    <t>{=myTEXTJOIN(",",F8,IF(B2:B8&gt;170,A2:A8,""))}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</si>
</sst>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2" x14ac:knownFonts="1">
    <font>
      <sz val="11"/>
      <color theme="1"/>
      <name val="宋体"/>
      <family val="2"/>
      <charset val="134"/>
      <scheme val="minor"/>
    </font>
    <font>
      <sz val="12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1"/>
      <color rgb="FF404040"/>
      <name val="宋体"/>
      <family val="3"/>
      <charset val="134"/>
      <scheme val="minor"/>
    </font>
    <font>
      <b/>
      <sz val="11"/>
      <color rgb="FF666666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/>
    <xf numFmtId="9" fontId="7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1" fillId="0" borderId="0" xfId="1" applyNumberFormat="1" applyFont="1" applyFill="1" applyBorder="1" applyAlignment="1">
      <alignment horizontal="left" vertical="center"/>
    </xf>
    <xf numFmtId="0" fontId="1" fillId="0" borderId="0" xfId="1" applyNumberFormat="1" applyFont="1" applyFill="1" applyBorder="1" applyAlignment="1">
      <alignment horizontal="left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49" fontId="3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49" fontId="0" fillId="5" borderId="1" xfId="0" applyNumberFormat="1" applyFill="1" applyBorder="1">
      <alignment vertical="center"/>
    </xf>
    <xf numFmtId="9" fontId="8" fillId="0" borderId="1" xfId="2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/>
    </xf>
    <xf numFmtId="0" fontId="9" fillId="5" borderId="0" xfId="1" applyNumberFormat="1" applyFont="1" applyFill="1" applyBorder="1" applyAlignment="1">
      <alignment horizontal="left" vertical="center"/>
    </xf>
    <xf numFmtId="0" fontId="3" fillId="5" borderId="0" xfId="0" applyFont="1" applyFill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3" fillId="0" borderId="1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176" fontId="3" fillId="0" borderId="0" xfId="0" applyNumberFormat="1" applyFont="1">
      <alignment vertical="center"/>
    </xf>
    <xf numFmtId="9" fontId="0" fillId="0" borderId="1" xfId="2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0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</cellXfs>
  <cellStyles count="3">
    <cellStyle name="百分比" xfId="2" builtinId="5"/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249556</xdr:colOff>
      <xdr:row>9</xdr:row>
      <xdr:rowOff>26670</xdr:rowOff>
    </xdr:from>
    <xdr:to>
      <xdr:col>3</xdr:col>
      <xdr:colOff>447676</xdr:colOff>
      <xdr:row>10</xdr:row>
      <xdr:rowOff>190501</xdr:rowOff>
    </xdr:to>
    <xdr:sp macro="" textlink="">
      <xdr:nvSpPr>
        <xdr:cNvPr id="2" name="燕尾形 1"/>
        <xdr:cNvSpPr/>
      </xdr:nvSpPr>
      <xdr:spPr>
        <a:xfrm>
          <a:off x="1621156" y="1998345"/>
          <a:ext cx="883920" cy="382906"/>
        </a:xfrm>
        <a:prstGeom prst="chevr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5"/>
  <sheetViews>
    <sheetView workbookViewId="0">
      <selection activeCell="G15" sqref="G15"/>
    </sheetView>
  </sheetViews>
  <sheetFormatPr defaultRowHeight="18.75" customHeight="1" x14ac:dyDescent="0.15"/>
  <cols>
    <col min="1" max="1" width="9.375" customWidth="1"/>
    <col min="2" max="2" width="22.125" customWidth="1"/>
    <col min="3" max="3" width="11.375" customWidth="1"/>
    <col min="4" max="4" width="12.625" customWidth="1"/>
    <col min="7" max="7" width="63.125" bestFit="1" customWidth="1"/>
  </cols>
  <sheetData>
    <row r="1" spans="1:7" ht="18.75" customHeight="1" x14ac:dyDescent="0.15">
      <c r="A1" t="s">
        <v>22</v>
      </c>
      <c r="B1" s="1" t="s">
        <v>0</v>
      </c>
      <c r="C1" s="2" t="s">
        <v>2</v>
      </c>
      <c r="D1" s="2" t="s">
        <v>183</v>
      </c>
      <c r="G1" s="24" t="s">
        <v>184</v>
      </c>
    </row>
    <row r="2" spans="1:7" ht="18.75" customHeight="1" x14ac:dyDescent="0.15">
      <c r="A2" t="s">
        <v>17</v>
      </c>
      <c r="B2" s="23" t="s">
        <v>162</v>
      </c>
      <c r="C2" s="2" t="s">
        <v>3</v>
      </c>
      <c r="D2" s="23" t="s">
        <v>134</v>
      </c>
      <c r="G2" s="25" t="s">
        <v>185</v>
      </c>
    </row>
    <row r="3" spans="1:7" ht="18.75" customHeight="1" x14ac:dyDescent="0.15">
      <c r="A3" t="s">
        <v>21</v>
      </c>
      <c r="B3" s="23" t="s">
        <v>163</v>
      </c>
      <c r="C3" s="2" t="s">
        <v>4</v>
      </c>
      <c r="D3" s="23" t="s">
        <v>135</v>
      </c>
      <c r="G3" s="2" t="s">
        <v>156</v>
      </c>
    </row>
    <row r="4" spans="1:7" ht="18.75" customHeight="1" x14ac:dyDescent="0.15">
      <c r="A4" t="s">
        <v>18</v>
      </c>
      <c r="B4" s="23" t="s">
        <v>164</v>
      </c>
      <c r="C4" s="2" t="s">
        <v>5</v>
      </c>
      <c r="D4" s="23" t="s">
        <v>136</v>
      </c>
      <c r="G4" t="s">
        <v>155</v>
      </c>
    </row>
    <row r="5" spans="1:7" ht="18.75" customHeight="1" x14ac:dyDescent="0.15">
      <c r="A5" t="s">
        <v>21</v>
      </c>
      <c r="B5" s="23" t="s">
        <v>165</v>
      </c>
      <c r="C5" s="2" t="s">
        <v>6</v>
      </c>
      <c r="D5" s="23" t="s">
        <v>137</v>
      </c>
      <c r="G5" t="s">
        <v>157</v>
      </c>
    </row>
    <row r="6" spans="1:7" ht="18.75" customHeight="1" x14ac:dyDescent="0.15">
      <c r="A6" t="s">
        <v>19</v>
      </c>
      <c r="B6" s="23" t="s">
        <v>166</v>
      </c>
      <c r="C6" s="2" t="s">
        <v>7</v>
      </c>
      <c r="D6" s="23" t="s">
        <v>138</v>
      </c>
      <c r="G6" t="s">
        <v>158</v>
      </c>
    </row>
    <row r="7" spans="1:7" ht="18.75" customHeight="1" x14ac:dyDescent="0.15">
      <c r="A7" t="s">
        <v>17</v>
      </c>
      <c r="B7" s="23" t="s">
        <v>167</v>
      </c>
      <c r="C7" s="2" t="s">
        <v>8</v>
      </c>
      <c r="D7" s="23" t="s">
        <v>139</v>
      </c>
      <c r="G7" t="s">
        <v>159</v>
      </c>
    </row>
    <row r="8" spans="1:7" ht="18.75" customHeight="1" x14ac:dyDescent="0.15">
      <c r="A8" t="s">
        <v>20</v>
      </c>
      <c r="B8" s="23" t="s">
        <v>168</v>
      </c>
      <c r="C8" s="2" t="s">
        <v>9</v>
      </c>
      <c r="D8" s="23" t="s">
        <v>140</v>
      </c>
      <c r="G8" t="s">
        <v>160</v>
      </c>
    </row>
    <row r="9" spans="1:7" ht="18.75" customHeight="1" x14ac:dyDescent="0.15">
      <c r="A9" t="s">
        <v>21</v>
      </c>
      <c r="B9" s="23" t="s">
        <v>169</v>
      </c>
      <c r="C9" s="2" t="s">
        <v>10</v>
      </c>
      <c r="D9" s="23" t="s">
        <v>141</v>
      </c>
    </row>
    <row r="10" spans="1:7" ht="18.75" customHeight="1" x14ac:dyDescent="0.15">
      <c r="A10" t="s">
        <v>18</v>
      </c>
      <c r="B10" s="23" t="s">
        <v>170</v>
      </c>
      <c r="C10" s="2" t="s">
        <v>11</v>
      </c>
      <c r="D10" s="23" t="s">
        <v>142</v>
      </c>
    </row>
    <row r="11" spans="1:7" ht="18.75" customHeight="1" x14ac:dyDescent="0.15">
      <c r="A11" t="s">
        <v>18</v>
      </c>
      <c r="B11" s="23" t="s">
        <v>171</v>
      </c>
      <c r="C11" s="2" t="s">
        <v>12</v>
      </c>
      <c r="D11" s="23" t="s">
        <v>143</v>
      </c>
    </row>
    <row r="12" spans="1:7" ht="18.75" customHeight="1" x14ac:dyDescent="0.15">
      <c r="A12" t="s">
        <v>21</v>
      </c>
      <c r="B12" s="23" t="s">
        <v>172</v>
      </c>
      <c r="C12" s="2" t="s">
        <v>13</v>
      </c>
      <c r="D12" s="23" t="s">
        <v>144</v>
      </c>
    </row>
    <row r="13" spans="1:7" ht="18.75" customHeight="1" x14ac:dyDescent="0.15">
      <c r="A13" t="s">
        <v>19</v>
      </c>
      <c r="B13" s="23" t="s">
        <v>173</v>
      </c>
      <c r="C13" s="2" t="s">
        <v>14</v>
      </c>
      <c r="D13" s="23" t="s">
        <v>145</v>
      </c>
    </row>
    <row r="14" spans="1:7" ht="18.75" customHeight="1" x14ac:dyDescent="0.15">
      <c r="A14" t="s">
        <v>17</v>
      </c>
      <c r="B14" s="23" t="s">
        <v>174</v>
      </c>
      <c r="C14" s="2" t="s">
        <v>15</v>
      </c>
      <c r="D14" s="23" t="s">
        <v>146</v>
      </c>
    </row>
    <row r="15" spans="1:7" ht="18.75" customHeight="1" x14ac:dyDescent="0.15">
      <c r="A15" t="s">
        <v>19</v>
      </c>
      <c r="B15" s="23" t="s">
        <v>175</v>
      </c>
      <c r="C15" s="2" t="s">
        <v>1</v>
      </c>
      <c r="D15" s="23" t="s">
        <v>147</v>
      </c>
    </row>
    <row r="16" spans="1:7" ht="18.75" customHeight="1" x14ac:dyDescent="0.15">
      <c r="A16" t="s">
        <v>17</v>
      </c>
      <c r="B16" s="23" t="s">
        <v>176</v>
      </c>
      <c r="C16" s="2" t="s">
        <v>16</v>
      </c>
      <c r="D16" s="23" t="s">
        <v>148</v>
      </c>
    </row>
    <row r="17" spans="1:7" ht="18.75" customHeight="1" x14ac:dyDescent="0.15">
      <c r="A17" t="s">
        <v>18</v>
      </c>
      <c r="B17" s="23" t="s">
        <v>177</v>
      </c>
      <c r="C17" s="2" t="s">
        <v>5</v>
      </c>
      <c r="D17" s="23" t="s">
        <v>149</v>
      </c>
    </row>
    <row r="18" spans="1:7" ht="18.75" customHeight="1" x14ac:dyDescent="0.15">
      <c r="A18" t="s">
        <v>20</v>
      </c>
      <c r="B18" s="23" t="s">
        <v>178</v>
      </c>
      <c r="C18" s="2" t="s">
        <v>9</v>
      </c>
      <c r="D18" s="23" t="s">
        <v>150</v>
      </c>
    </row>
    <row r="19" spans="1:7" ht="18.75" customHeight="1" x14ac:dyDescent="0.15">
      <c r="A19" t="s">
        <v>21</v>
      </c>
      <c r="B19" s="23" t="s">
        <v>179</v>
      </c>
      <c r="C19" s="2" t="s">
        <v>13</v>
      </c>
      <c r="D19" s="23" t="s">
        <v>151</v>
      </c>
    </row>
    <row r="20" spans="1:7" ht="18.75" customHeight="1" x14ac:dyDescent="0.15">
      <c r="A20" t="s">
        <v>19</v>
      </c>
      <c r="B20" s="23" t="s">
        <v>180</v>
      </c>
      <c r="C20" s="2" t="s">
        <v>14</v>
      </c>
      <c r="D20" s="23" t="s">
        <v>152</v>
      </c>
    </row>
    <row r="21" spans="1:7" ht="18.75" customHeight="1" x14ac:dyDescent="0.15">
      <c r="A21" t="s">
        <v>19</v>
      </c>
      <c r="B21" s="23" t="s">
        <v>181</v>
      </c>
      <c r="C21" s="2" t="s">
        <v>7</v>
      </c>
      <c r="D21" s="23" t="s">
        <v>153</v>
      </c>
    </row>
    <row r="22" spans="1:7" ht="18.75" customHeight="1" x14ac:dyDescent="0.15">
      <c r="A22" t="s">
        <v>17</v>
      </c>
      <c r="B22" s="23" t="s">
        <v>182</v>
      </c>
      <c r="C22" s="2" t="s">
        <v>8</v>
      </c>
      <c r="D22" s="23" t="s">
        <v>154</v>
      </c>
    </row>
    <row r="23" spans="1:7" s="3" customFormat="1" ht="18.75" customHeight="1" x14ac:dyDescent="0.15">
      <c r="A23" s="41" t="s">
        <v>161</v>
      </c>
      <c r="B23" s="41"/>
      <c r="G23"/>
    </row>
    <row r="25" spans="1:7" ht="18.75" customHeight="1" x14ac:dyDescent="0.15">
      <c r="G25" s="3"/>
    </row>
  </sheetData>
  <mergeCells count="1">
    <mergeCell ref="A23:B23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9"/>
  <sheetViews>
    <sheetView zoomScaleNormal="100" workbookViewId="0">
      <selection activeCell="J7" sqref="J7:M10"/>
    </sheetView>
  </sheetViews>
  <sheetFormatPr defaultRowHeight="17.25" customHeight="1" x14ac:dyDescent="0.15"/>
  <cols>
    <col min="10" max="10" width="8.875" customWidth="1"/>
  </cols>
  <sheetData>
    <row r="1" spans="1:13" ht="17.25" customHeight="1" x14ac:dyDescent="0.15">
      <c r="A1" s="3" t="s">
        <v>23</v>
      </c>
      <c r="B1" s="4"/>
      <c r="C1" s="4"/>
      <c r="D1" s="4"/>
      <c r="I1" s="16" t="s">
        <v>195</v>
      </c>
    </row>
    <row r="2" spans="1:13" ht="17.25" customHeight="1" x14ac:dyDescent="0.15">
      <c r="A2" s="5" t="s">
        <v>24</v>
      </c>
      <c r="B2" s="5" t="s">
        <v>25</v>
      </c>
      <c r="C2" s="9"/>
      <c r="D2" s="9"/>
      <c r="I2" s="16" t="s">
        <v>201</v>
      </c>
    </row>
    <row r="3" spans="1:13" ht="17.25" customHeight="1" x14ac:dyDescent="0.15">
      <c r="A3" s="6" t="s">
        <v>26</v>
      </c>
      <c r="B3" s="6" t="s">
        <v>27</v>
      </c>
      <c r="C3" s="8"/>
      <c r="D3" s="8"/>
      <c r="I3" s="10"/>
    </row>
    <row r="4" spans="1:13" ht="17.25" customHeight="1" x14ac:dyDescent="0.15">
      <c r="A4" s="6" t="s">
        <v>26</v>
      </c>
      <c r="B4" s="6" t="s">
        <v>28</v>
      </c>
      <c r="C4" s="8"/>
      <c r="D4" s="8"/>
    </row>
    <row r="5" spans="1:13" ht="17.25" customHeight="1" x14ac:dyDescent="0.15">
      <c r="A5" s="6" t="s">
        <v>26</v>
      </c>
      <c r="B5" s="6" t="s">
        <v>29</v>
      </c>
      <c r="C5" s="8"/>
      <c r="D5" s="8"/>
      <c r="E5" s="3" t="s">
        <v>41</v>
      </c>
      <c r="F5" s="4"/>
      <c r="I5" s="11" t="s">
        <v>40</v>
      </c>
      <c r="J5" s="10" t="s">
        <v>198</v>
      </c>
    </row>
    <row r="6" spans="1:13" ht="17.25" customHeight="1" x14ac:dyDescent="0.15">
      <c r="A6" s="6" t="s">
        <v>26</v>
      </c>
      <c r="B6" s="6" t="s">
        <v>30</v>
      </c>
      <c r="C6" s="8"/>
      <c r="D6" s="8"/>
      <c r="E6" s="5" t="s">
        <v>37</v>
      </c>
      <c r="F6" s="5" t="s">
        <v>25</v>
      </c>
      <c r="I6" s="11" t="s">
        <v>196</v>
      </c>
      <c r="J6" t="s">
        <v>199</v>
      </c>
    </row>
    <row r="7" spans="1:13" ht="17.25" customHeight="1" x14ac:dyDescent="0.15">
      <c r="A7" s="6" t="s">
        <v>31</v>
      </c>
      <c r="B7" s="6" t="s">
        <v>27</v>
      </c>
      <c r="C7" s="8"/>
      <c r="D7" s="8"/>
      <c r="E7" s="6" t="s">
        <v>38</v>
      </c>
      <c r="F7" s="6" t="s">
        <v>27</v>
      </c>
      <c r="I7" s="11" t="s">
        <v>197</v>
      </c>
      <c r="J7" s="42" t="s">
        <v>200</v>
      </c>
      <c r="K7" s="42"/>
      <c r="L7" s="42"/>
      <c r="M7" s="42"/>
    </row>
    <row r="8" spans="1:13" ht="17.25" customHeight="1" x14ac:dyDescent="0.15">
      <c r="A8" s="6" t="s">
        <v>31</v>
      </c>
      <c r="B8" s="6" t="s">
        <v>29</v>
      </c>
      <c r="C8" s="8"/>
      <c r="D8" s="8"/>
      <c r="E8" s="6" t="s">
        <v>38</v>
      </c>
      <c r="F8" s="6" t="s">
        <v>28</v>
      </c>
      <c r="J8" s="42"/>
      <c r="K8" s="42"/>
      <c r="L8" s="42"/>
      <c r="M8" s="42"/>
    </row>
    <row r="9" spans="1:13" ht="17.25" customHeight="1" x14ac:dyDescent="0.15">
      <c r="A9" s="6" t="s">
        <v>31</v>
      </c>
      <c r="B9" s="6" t="s">
        <v>32</v>
      </c>
      <c r="C9" s="8"/>
      <c r="D9" s="8"/>
      <c r="E9" s="6" t="s">
        <v>38</v>
      </c>
      <c r="F9" s="6" t="s">
        <v>29</v>
      </c>
      <c r="J9" s="42"/>
      <c r="K9" s="42"/>
      <c r="L9" s="42"/>
      <c r="M9" s="42"/>
    </row>
    <row r="10" spans="1:13" ht="17.25" customHeight="1" x14ac:dyDescent="0.15">
      <c r="A10" s="6" t="s">
        <v>33</v>
      </c>
      <c r="B10" s="6" t="s">
        <v>28</v>
      </c>
      <c r="C10" s="8"/>
      <c r="D10" s="8"/>
      <c r="E10" s="6" t="s">
        <v>38</v>
      </c>
      <c r="F10" s="6" t="s">
        <v>30</v>
      </c>
      <c r="J10" s="42"/>
      <c r="K10" s="42"/>
      <c r="L10" s="42"/>
      <c r="M10" s="42"/>
    </row>
    <row r="11" spans="1:13" ht="17.25" customHeight="1" x14ac:dyDescent="0.15">
      <c r="A11" s="6" t="s">
        <v>33</v>
      </c>
      <c r="B11" s="6" t="s">
        <v>34</v>
      </c>
      <c r="C11" s="8"/>
      <c r="D11" s="8"/>
      <c r="E11" s="6" t="s">
        <v>38</v>
      </c>
      <c r="F11" s="6" t="s">
        <v>32</v>
      </c>
    </row>
    <row r="12" spans="1:13" ht="17.25" customHeight="1" x14ac:dyDescent="0.15">
      <c r="A12" s="6" t="s">
        <v>33</v>
      </c>
      <c r="B12" s="6" t="s">
        <v>35</v>
      </c>
      <c r="C12" s="8"/>
      <c r="D12" s="8"/>
      <c r="E12" s="6" t="s">
        <v>39</v>
      </c>
      <c r="F12" s="6" t="s">
        <v>27</v>
      </c>
    </row>
    <row r="13" spans="1:13" ht="17.25" customHeight="1" x14ac:dyDescent="0.15">
      <c r="A13" s="7"/>
      <c r="B13" s="8"/>
      <c r="C13" s="8"/>
      <c r="D13" s="8"/>
      <c r="E13" s="6" t="s">
        <v>39</v>
      </c>
      <c r="F13" s="6" t="s">
        <v>28</v>
      </c>
    </row>
    <row r="14" spans="1:13" ht="17.25" customHeight="1" x14ac:dyDescent="0.15">
      <c r="A14" s="3" t="s">
        <v>36</v>
      </c>
      <c r="B14" s="4"/>
      <c r="C14" s="4"/>
      <c r="D14" s="4"/>
      <c r="E14" s="6" t="s">
        <v>39</v>
      </c>
      <c r="F14" s="6" t="s">
        <v>29</v>
      </c>
    </row>
    <row r="15" spans="1:13" ht="17.25" customHeight="1" x14ac:dyDescent="0.15">
      <c r="A15" s="5" t="s">
        <v>37</v>
      </c>
      <c r="B15" s="5" t="s">
        <v>24</v>
      </c>
      <c r="C15" s="9"/>
      <c r="D15" s="9"/>
      <c r="E15" s="6" t="s">
        <v>39</v>
      </c>
      <c r="F15" s="6" t="s">
        <v>32</v>
      </c>
    </row>
    <row r="16" spans="1:13" ht="17.25" customHeight="1" x14ac:dyDescent="0.15">
      <c r="A16" s="6" t="s">
        <v>38</v>
      </c>
      <c r="B16" s="6" t="s">
        <v>26</v>
      </c>
      <c r="C16" s="8"/>
      <c r="D16" s="8"/>
      <c r="E16" s="6" t="s">
        <v>39</v>
      </c>
      <c r="F16" s="6" t="s">
        <v>35</v>
      </c>
    </row>
    <row r="17" spans="1:4" ht="17.25" customHeight="1" x14ac:dyDescent="0.15">
      <c r="A17" s="6" t="s">
        <v>38</v>
      </c>
      <c r="B17" s="6" t="s">
        <v>31</v>
      </c>
      <c r="C17" s="8"/>
      <c r="D17" s="8"/>
    </row>
    <row r="18" spans="1:4" ht="17.25" customHeight="1" x14ac:dyDescent="0.15">
      <c r="A18" s="6" t="s">
        <v>39</v>
      </c>
      <c r="B18" s="6" t="s">
        <v>31</v>
      </c>
      <c r="C18" s="8"/>
      <c r="D18" s="8"/>
    </row>
    <row r="19" spans="1:4" ht="17.25" customHeight="1" x14ac:dyDescent="0.15">
      <c r="A19" s="6" t="s">
        <v>39</v>
      </c>
      <c r="B19" s="6" t="s">
        <v>33</v>
      </c>
      <c r="C19" s="8"/>
      <c r="D19" s="8"/>
    </row>
  </sheetData>
  <mergeCells count="1">
    <mergeCell ref="J7:M10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tabSelected="1" workbookViewId="0">
      <selection activeCell="E13" sqref="E13"/>
    </sheetView>
  </sheetViews>
  <sheetFormatPr defaultRowHeight="18" customHeight="1" x14ac:dyDescent="0.15"/>
  <sheetData>
    <row r="1" spans="1:6" ht="18" customHeight="1" x14ac:dyDescent="0.15">
      <c r="A1" s="26" t="s">
        <v>62</v>
      </c>
      <c r="B1" s="27" t="s">
        <v>68</v>
      </c>
      <c r="E1" s="3" t="s">
        <v>187</v>
      </c>
    </row>
    <row r="2" spans="1:6" ht="18" customHeight="1" x14ac:dyDescent="0.15">
      <c r="A2" s="12" t="s">
        <v>63</v>
      </c>
      <c r="B2" s="12">
        <v>157</v>
      </c>
      <c r="E2" s="16" t="s">
        <v>61</v>
      </c>
    </row>
    <row r="3" spans="1:6" ht="18" customHeight="1" x14ac:dyDescent="0.15">
      <c r="A3" s="12" t="s">
        <v>64</v>
      </c>
      <c r="B3" s="12">
        <v>177</v>
      </c>
      <c r="E3" s="10" t="s">
        <v>355</v>
      </c>
    </row>
    <row r="4" spans="1:6" ht="18" customHeight="1" x14ac:dyDescent="0.15">
      <c r="A4" s="12"/>
      <c r="B4" s="12">
        <v>170</v>
      </c>
      <c r="E4" s="10" t="s">
        <v>356</v>
      </c>
    </row>
    <row r="5" spans="1:6" ht="18" customHeight="1" x14ac:dyDescent="0.15">
      <c r="A5" s="12" t="s">
        <v>65</v>
      </c>
      <c r="B5" s="12">
        <v>180</v>
      </c>
      <c r="E5" s="10" t="s">
        <v>357</v>
      </c>
    </row>
    <row r="6" spans="1:6" ht="18" customHeight="1" x14ac:dyDescent="0.15">
      <c r="A6" s="12" t="s">
        <v>66</v>
      </c>
      <c r="B6" s="12">
        <v>165</v>
      </c>
    </row>
    <row r="7" spans="1:6" ht="18" customHeight="1" x14ac:dyDescent="0.15">
      <c r="A7" s="12" t="s">
        <v>67</v>
      </c>
      <c r="B7" s="12">
        <v>169</v>
      </c>
      <c r="E7" s="20" t="s">
        <v>213</v>
      </c>
      <c r="F7" s="35" t="s">
        <v>214</v>
      </c>
    </row>
    <row r="8" spans="1:6" ht="18" customHeight="1" x14ac:dyDescent="0.15">
      <c r="A8" s="40" t="s">
        <v>354</v>
      </c>
      <c r="B8" s="40">
        <v>288</v>
      </c>
      <c r="E8" s="20" t="s">
        <v>69</v>
      </c>
      <c r="F8" s="35">
        <v>1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selection activeCell="L14" sqref="L14"/>
    </sheetView>
  </sheetViews>
  <sheetFormatPr defaultRowHeight="20.25" customHeight="1" x14ac:dyDescent="0.15"/>
  <sheetData>
    <row r="1" spans="1:1" ht="20.25" customHeight="1" x14ac:dyDescent="0.15">
      <c r="A1" s="3" t="s">
        <v>188</v>
      </c>
    </row>
    <row r="2" spans="1:1" ht="20.25" customHeight="1" x14ac:dyDescent="0.15">
      <c r="A2" s="3" t="s">
        <v>70</v>
      </c>
    </row>
    <row r="3" spans="1:1" ht="20.25" customHeight="1" x14ac:dyDescent="0.15">
      <c r="A3" t="s">
        <v>71</v>
      </c>
    </row>
    <row r="4" spans="1:1" ht="20.25" customHeight="1" x14ac:dyDescent="0.15">
      <c r="A4" t="s">
        <v>72</v>
      </c>
    </row>
    <row r="5" spans="1:1" ht="20.25" customHeight="1" x14ac:dyDescent="0.15">
      <c r="A5" t="s">
        <v>73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6"/>
  <sheetViews>
    <sheetView workbookViewId="0">
      <selection activeCell="I11" sqref="I11"/>
    </sheetView>
  </sheetViews>
  <sheetFormatPr defaultRowHeight="18.75" customHeight="1" x14ac:dyDescent="0.15"/>
  <cols>
    <col min="3" max="3" width="8.5" customWidth="1"/>
    <col min="6" max="6" width="31.75" customWidth="1"/>
    <col min="7" max="7" width="9" style="10"/>
  </cols>
  <sheetData>
    <row r="1" spans="1:8" ht="18.75" customHeight="1" x14ac:dyDescent="0.15">
      <c r="A1" s="14" t="s">
        <v>79</v>
      </c>
      <c r="B1" s="14" t="s">
        <v>37</v>
      </c>
      <c r="C1" s="14" t="s">
        <v>102</v>
      </c>
      <c r="D1" s="14" t="s">
        <v>101</v>
      </c>
      <c r="F1" s="3" t="s">
        <v>189</v>
      </c>
    </row>
    <row r="2" spans="1:8" ht="18.75" customHeight="1" x14ac:dyDescent="0.15">
      <c r="A2" s="13">
        <v>156</v>
      </c>
      <c r="B2" s="12" t="s">
        <v>50</v>
      </c>
      <c r="C2" s="13" t="s">
        <v>103</v>
      </c>
      <c r="D2" s="12">
        <v>154</v>
      </c>
      <c r="F2" s="16" t="s">
        <v>120</v>
      </c>
    </row>
    <row r="3" spans="1:8" ht="18.75" customHeight="1" x14ac:dyDescent="0.15">
      <c r="A3" s="13">
        <v>176</v>
      </c>
      <c r="B3" s="12" t="s">
        <v>45</v>
      </c>
      <c r="C3" s="13" t="s">
        <v>104</v>
      </c>
      <c r="D3" s="12">
        <v>121</v>
      </c>
      <c r="F3" s="10" t="s">
        <v>110</v>
      </c>
      <c r="G3" s="10" t="s">
        <v>121</v>
      </c>
    </row>
    <row r="4" spans="1:8" ht="18.75" customHeight="1" x14ac:dyDescent="0.15">
      <c r="A4" s="13">
        <v>166</v>
      </c>
      <c r="B4" s="12" t="s">
        <v>46</v>
      </c>
      <c r="C4" s="13" t="s">
        <v>103</v>
      </c>
      <c r="D4" s="12">
        <v>132</v>
      </c>
      <c r="F4" t="s">
        <v>112</v>
      </c>
      <c r="G4" s="10" t="s">
        <v>122</v>
      </c>
    </row>
    <row r="5" spans="1:8" ht="18.75" customHeight="1" x14ac:dyDescent="0.15">
      <c r="A5" s="13">
        <v>162</v>
      </c>
      <c r="B5" s="12" t="s">
        <v>45</v>
      </c>
      <c r="C5" s="13" t="s">
        <v>103</v>
      </c>
      <c r="D5" s="12">
        <v>164</v>
      </c>
      <c r="F5" s="10" t="s">
        <v>119</v>
      </c>
      <c r="G5" s="10" t="s">
        <v>123</v>
      </c>
    </row>
    <row r="6" spans="1:8" ht="18.75" customHeight="1" x14ac:dyDescent="0.15">
      <c r="A6" s="13">
        <v>162</v>
      </c>
      <c r="B6" s="12" t="s">
        <v>47</v>
      </c>
      <c r="C6" s="13" t="s">
        <v>103</v>
      </c>
      <c r="D6" s="12">
        <v>139</v>
      </c>
      <c r="F6" t="s">
        <v>111</v>
      </c>
      <c r="G6" s="10" t="s">
        <v>124</v>
      </c>
    </row>
    <row r="7" spans="1:8" ht="18.75" customHeight="1" x14ac:dyDescent="0.15">
      <c r="A7" s="13">
        <v>176</v>
      </c>
      <c r="B7" s="12" t="s">
        <v>48</v>
      </c>
      <c r="C7" s="13" t="s">
        <v>104</v>
      </c>
      <c r="D7" s="12">
        <v>144</v>
      </c>
      <c r="F7" t="s">
        <v>113</v>
      </c>
      <c r="G7" s="10" t="s">
        <v>125</v>
      </c>
      <c r="H7" s="10" t="s">
        <v>128</v>
      </c>
    </row>
    <row r="8" spans="1:8" ht="18.75" customHeight="1" x14ac:dyDescent="0.15">
      <c r="A8" s="13">
        <v>169</v>
      </c>
      <c r="B8" s="12" t="s">
        <v>47</v>
      </c>
      <c r="C8" s="13" t="s">
        <v>104</v>
      </c>
      <c r="D8" s="12">
        <v>149</v>
      </c>
      <c r="F8" t="s">
        <v>118</v>
      </c>
      <c r="G8" s="10" t="s">
        <v>117</v>
      </c>
    </row>
    <row r="9" spans="1:8" ht="18.75" customHeight="1" x14ac:dyDescent="0.15">
      <c r="A9" s="13">
        <v>161</v>
      </c>
      <c r="B9" s="12" t="s">
        <v>49</v>
      </c>
      <c r="C9" s="13" t="s">
        <v>104</v>
      </c>
      <c r="D9" s="12">
        <v>147</v>
      </c>
      <c r="F9" t="s">
        <v>105</v>
      </c>
      <c r="G9" s="10" t="s">
        <v>106</v>
      </c>
    </row>
    <row r="10" spans="1:8" ht="18.75" customHeight="1" x14ac:dyDescent="0.15">
      <c r="A10" s="13">
        <v>173</v>
      </c>
      <c r="B10" s="12" t="s">
        <v>45</v>
      </c>
      <c r="C10" s="13" t="s">
        <v>104</v>
      </c>
      <c r="D10" s="12">
        <v>157</v>
      </c>
    </row>
    <row r="11" spans="1:8" ht="18.75" customHeight="1" x14ac:dyDescent="0.15">
      <c r="F11" s="10"/>
    </row>
    <row r="13" spans="1:8" ht="18.75" customHeight="1" x14ac:dyDescent="0.15">
      <c r="G13"/>
    </row>
    <row r="14" spans="1:8" ht="18.75" customHeight="1" x14ac:dyDescent="0.15">
      <c r="A14" s="14" t="s">
        <v>78</v>
      </c>
      <c r="B14" s="14" t="s">
        <v>107</v>
      </c>
      <c r="C14" s="14" t="s">
        <v>102</v>
      </c>
      <c r="D14" s="14" t="s">
        <v>101</v>
      </c>
      <c r="G14"/>
    </row>
    <row r="15" spans="1:8" ht="18.75" customHeight="1" x14ac:dyDescent="0.15">
      <c r="A15" s="12" t="s">
        <v>45</v>
      </c>
      <c r="B15" s="12"/>
      <c r="C15" s="12" t="s">
        <v>127</v>
      </c>
      <c r="D15" s="12">
        <v>146</v>
      </c>
      <c r="G15"/>
    </row>
    <row r="16" spans="1:8" ht="18.75" customHeight="1" x14ac:dyDescent="0.15">
      <c r="A16" s="12" t="s">
        <v>46</v>
      </c>
      <c r="B16" s="12"/>
      <c r="C16" s="12"/>
      <c r="D16" s="12"/>
      <c r="G16"/>
    </row>
    <row r="17" spans="1:7" ht="18.75" customHeight="1" x14ac:dyDescent="0.15">
      <c r="A17" s="12" t="s">
        <v>47</v>
      </c>
      <c r="B17" s="12"/>
      <c r="C17" s="12"/>
      <c r="D17" s="12"/>
      <c r="G17"/>
    </row>
    <row r="18" spans="1:7" ht="18.75" customHeight="1" x14ac:dyDescent="0.15">
      <c r="A18" s="12" t="s">
        <v>49</v>
      </c>
      <c r="B18" s="12"/>
      <c r="C18" s="12"/>
      <c r="D18" s="12"/>
      <c r="G18"/>
    </row>
    <row r="19" spans="1:7" ht="18.75" customHeight="1" x14ac:dyDescent="0.15">
      <c r="A19" s="12" t="s">
        <v>50</v>
      </c>
      <c r="B19" s="12"/>
      <c r="C19" s="12"/>
      <c r="D19" s="12"/>
      <c r="G19"/>
    </row>
    <row r="20" spans="1:7" ht="18.75" customHeight="1" x14ac:dyDescent="0.15">
      <c r="A20" s="17"/>
      <c r="B20" s="17"/>
      <c r="C20" s="17"/>
      <c r="D20" s="17"/>
      <c r="G20"/>
    </row>
    <row r="21" spans="1:7" ht="18.75" customHeight="1" x14ac:dyDescent="0.15">
      <c r="G21"/>
    </row>
    <row r="22" spans="1:7" ht="18.75" customHeight="1" x14ac:dyDescent="0.15">
      <c r="A22" s="14" t="s">
        <v>114</v>
      </c>
      <c r="B22" s="13" t="s">
        <v>50</v>
      </c>
      <c r="C22" s="13" t="s">
        <v>45</v>
      </c>
      <c r="D22" s="13" t="s">
        <v>45</v>
      </c>
      <c r="G22"/>
    </row>
    <row r="23" spans="1:7" ht="18.75" customHeight="1" x14ac:dyDescent="0.15">
      <c r="A23" s="14" t="s">
        <v>115</v>
      </c>
      <c r="B23" s="13" t="s">
        <v>103</v>
      </c>
      <c r="C23" s="13" t="s">
        <v>126</v>
      </c>
      <c r="D23" s="13" t="s">
        <v>104</v>
      </c>
      <c r="G23"/>
    </row>
    <row r="24" spans="1:7" ht="18.75" customHeight="1" x14ac:dyDescent="0.15">
      <c r="A24" s="14" t="s">
        <v>116</v>
      </c>
      <c r="B24" s="22"/>
      <c r="C24" s="22"/>
      <c r="D24" s="22"/>
      <c r="G24"/>
    </row>
    <row r="25" spans="1:7" ht="18.75" customHeight="1" x14ac:dyDescent="0.15">
      <c r="G25"/>
    </row>
    <row r="26" spans="1:7" ht="18.75" customHeight="1" x14ac:dyDescent="0.15">
      <c r="G26"/>
    </row>
    <row r="27" spans="1:7" ht="18.75" customHeight="1" x14ac:dyDescent="0.15">
      <c r="G27"/>
    </row>
    <row r="28" spans="1:7" ht="18.75" customHeight="1" x14ac:dyDescent="0.15">
      <c r="A28" s="14" t="s">
        <v>108</v>
      </c>
      <c r="B28" s="14" t="s">
        <v>109</v>
      </c>
      <c r="G28"/>
    </row>
    <row r="29" spans="1:7" ht="18.75" customHeight="1" x14ac:dyDescent="0.15">
      <c r="A29" s="31">
        <v>0</v>
      </c>
      <c r="B29" s="34">
        <v>0</v>
      </c>
      <c r="G29"/>
    </row>
    <row r="30" spans="1:7" ht="18.75" customHeight="1" x14ac:dyDescent="0.15">
      <c r="A30" s="31">
        <v>20</v>
      </c>
      <c r="B30" s="34">
        <v>0.05</v>
      </c>
      <c r="G30"/>
    </row>
    <row r="31" spans="1:7" ht="18.75" customHeight="1" x14ac:dyDescent="0.15">
      <c r="A31" s="31">
        <v>35</v>
      </c>
      <c r="B31" s="34">
        <v>0.1</v>
      </c>
      <c r="G31"/>
    </row>
    <row r="32" spans="1:7" ht="18.75" customHeight="1" x14ac:dyDescent="0.15">
      <c r="A32" s="31">
        <v>50</v>
      </c>
      <c r="B32" s="34">
        <v>0.2</v>
      </c>
      <c r="G32"/>
    </row>
    <row r="33" spans="1:7" ht="18.75" customHeight="1" x14ac:dyDescent="0.15">
      <c r="A33" s="31">
        <v>70</v>
      </c>
      <c r="B33" s="34">
        <v>0.25</v>
      </c>
      <c r="G33"/>
    </row>
    <row r="34" spans="1:7" ht="18.75" customHeight="1" x14ac:dyDescent="0.15">
      <c r="G34"/>
    </row>
    <row r="35" spans="1:7" ht="18.75" customHeight="1" x14ac:dyDescent="0.15">
      <c r="G35"/>
    </row>
    <row r="36" spans="1:7" ht="18.75" customHeight="1" x14ac:dyDescent="0.15">
      <c r="A36" s="14" t="s">
        <v>108</v>
      </c>
      <c r="B36" s="14" t="s">
        <v>109</v>
      </c>
    </row>
    <row r="37" spans="1:7" ht="18.75" customHeight="1" x14ac:dyDescent="0.15">
      <c r="A37" s="12">
        <v>49</v>
      </c>
      <c r="B37" s="21"/>
    </row>
    <row r="40" spans="1:7" ht="18.75" customHeight="1" x14ac:dyDescent="0.15">
      <c r="A40" s="14" t="s">
        <v>206</v>
      </c>
      <c r="B40" s="14" t="s">
        <v>205</v>
      </c>
    </row>
    <row r="41" spans="1:7" ht="18.75" customHeight="1" x14ac:dyDescent="0.15">
      <c r="A41" s="31">
        <v>0</v>
      </c>
      <c r="B41" s="34" t="s">
        <v>207</v>
      </c>
    </row>
    <row r="42" spans="1:7" ht="18.75" customHeight="1" x14ac:dyDescent="0.15">
      <c r="A42" s="31">
        <v>110</v>
      </c>
      <c r="B42" s="34" t="s">
        <v>208</v>
      </c>
    </row>
    <row r="43" spans="1:7" ht="18.75" customHeight="1" x14ac:dyDescent="0.15">
      <c r="A43" s="31">
        <v>135</v>
      </c>
      <c r="B43" s="34" t="s">
        <v>209</v>
      </c>
    </row>
    <row r="44" spans="1:7" ht="18.75" customHeight="1" x14ac:dyDescent="0.15">
      <c r="A44" s="31">
        <v>150</v>
      </c>
      <c r="B44" s="34" t="s">
        <v>210</v>
      </c>
    </row>
    <row r="45" spans="1:7" ht="18.75" customHeight="1" x14ac:dyDescent="0.15">
      <c r="A45" s="31">
        <v>170</v>
      </c>
      <c r="B45" s="34" t="s">
        <v>211</v>
      </c>
    </row>
    <row r="49" spans="1:7" ht="18.75" customHeight="1" x14ac:dyDescent="0.15">
      <c r="A49" s="14" t="s">
        <v>37</v>
      </c>
      <c r="B49" s="14" t="s">
        <v>101</v>
      </c>
      <c r="C49" s="14" t="s">
        <v>205</v>
      </c>
      <c r="F49" s="10"/>
      <c r="G49"/>
    </row>
    <row r="50" spans="1:7" ht="18.75" customHeight="1" x14ac:dyDescent="0.15">
      <c r="A50" s="12" t="s">
        <v>50</v>
      </c>
      <c r="B50" s="31">
        <v>154</v>
      </c>
      <c r="C50" s="31"/>
      <c r="F50" s="10"/>
      <c r="G50"/>
    </row>
    <row r="51" spans="1:7" ht="18.75" customHeight="1" x14ac:dyDescent="0.15">
      <c r="A51" s="12" t="s">
        <v>45</v>
      </c>
      <c r="B51" s="31">
        <v>112</v>
      </c>
      <c r="C51" s="31"/>
      <c r="F51" s="10"/>
      <c r="G51"/>
    </row>
    <row r="52" spans="1:7" ht="18.75" customHeight="1" x14ac:dyDescent="0.15">
      <c r="A52" s="12" t="s">
        <v>46</v>
      </c>
      <c r="B52" s="31">
        <v>132</v>
      </c>
      <c r="C52" s="31"/>
      <c r="F52" s="10"/>
      <c r="G52"/>
    </row>
    <row r="53" spans="1:7" ht="18.75" customHeight="1" x14ac:dyDescent="0.15">
      <c r="A53" s="12" t="s">
        <v>48</v>
      </c>
      <c r="B53" s="31">
        <v>144</v>
      </c>
      <c r="C53" s="31"/>
      <c r="F53" s="10"/>
      <c r="G53"/>
    </row>
    <row r="54" spans="1:7" ht="18.75" customHeight="1" x14ac:dyDescent="0.15">
      <c r="A54" s="12" t="s">
        <v>47</v>
      </c>
      <c r="B54" s="31">
        <v>179</v>
      </c>
      <c r="C54" s="31"/>
      <c r="F54" s="10"/>
      <c r="G54"/>
    </row>
    <row r="55" spans="1:7" ht="18.75" customHeight="1" x14ac:dyDescent="0.15">
      <c r="A55" s="12" t="s">
        <v>49</v>
      </c>
      <c r="B55" s="31">
        <v>147</v>
      </c>
      <c r="C55" s="31"/>
      <c r="F55" s="10"/>
      <c r="G55"/>
    </row>
    <row r="56" spans="1:7" ht="18.75" customHeight="1" x14ac:dyDescent="0.15">
      <c r="A56" s="12" t="s">
        <v>212</v>
      </c>
      <c r="B56" s="31">
        <v>108</v>
      </c>
      <c r="C56" s="31"/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M13" sqref="M13"/>
    </sheetView>
  </sheetViews>
  <sheetFormatPr defaultRowHeight="17.25" customHeight="1" x14ac:dyDescent="0.15"/>
  <sheetData>
    <row r="1" spans="1:5" ht="17.25" customHeight="1" x14ac:dyDescent="0.15">
      <c r="A1" s="14" t="s">
        <v>37</v>
      </c>
      <c r="B1" s="14" t="s">
        <v>44</v>
      </c>
      <c r="C1" s="17"/>
      <c r="D1" s="17"/>
      <c r="E1" s="3" t="s">
        <v>190</v>
      </c>
    </row>
    <row r="2" spans="1:5" ht="17.25" customHeight="1" x14ac:dyDescent="0.15">
      <c r="A2" s="12" t="s">
        <v>45</v>
      </c>
      <c r="B2" s="12">
        <v>98</v>
      </c>
      <c r="C2" s="17"/>
      <c r="D2" s="17"/>
      <c r="E2" s="3" t="s">
        <v>74</v>
      </c>
    </row>
    <row r="3" spans="1:5" ht="17.25" customHeight="1" x14ac:dyDescent="0.15">
      <c r="A3" s="12" t="s">
        <v>46</v>
      </c>
      <c r="B3" s="12">
        <v>147</v>
      </c>
      <c r="C3" s="17"/>
      <c r="D3" s="17"/>
      <c r="E3" t="s">
        <v>75</v>
      </c>
    </row>
    <row r="4" spans="1:5" ht="17.25" customHeight="1" x14ac:dyDescent="0.15">
      <c r="A4" s="12" t="s">
        <v>45</v>
      </c>
      <c r="B4" s="12">
        <v>98</v>
      </c>
      <c r="C4" s="17"/>
      <c r="D4" s="17"/>
      <c r="E4" t="s">
        <v>76</v>
      </c>
    </row>
    <row r="5" spans="1:5" ht="17.25" customHeight="1" x14ac:dyDescent="0.15">
      <c r="A5" s="12" t="s">
        <v>47</v>
      </c>
      <c r="B5" s="12">
        <v>132</v>
      </c>
      <c r="C5" s="17"/>
      <c r="D5" s="17"/>
      <c r="E5" s="10" t="s">
        <v>129</v>
      </c>
    </row>
    <row r="6" spans="1:5" ht="17.25" customHeight="1" x14ac:dyDescent="0.15">
      <c r="A6" s="12" t="s">
        <v>48</v>
      </c>
      <c r="B6" s="12">
        <v>132</v>
      </c>
      <c r="C6" s="17"/>
      <c r="D6" s="17"/>
    </row>
    <row r="7" spans="1:5" ht="17.25" customHeight="1" x14ac:dyDescent="0.15">
      <c r="A7" s="12" t="s">
        <v>47</v>
      </c>
      <c r="B7" s="12">
        <v>132</v>
      </c>
      <c r="C7" s="17"/>
      <c r="D7" s="17"/>
    </row>
    <row r="8" spans="1:5" ht="17.25" customHeight="1" x14ac:dyDescent="0.15">
      <c r="A8" s="12" t="s">
        <v>49</v>
      </c>
      <c r="B8" s="12">
        <v>157</v>
      </c>
      <c r="C8" s="17"/>
      <c r="D8" s="17"/>
    </row>
    <row r="9" spans="1:5" ht="17.25" customHeight="1" x14ac:dyDescent="0.15">
      <c r="A9" s="12" t="s">
        <v>50</v>
      </c>
      <c r="B9" s="12">
        <v>147</v>
      </c>
      <c r="C9" s="17"/>
      <c r="D9" s="17"/>
    </row>
    <row r="10" spans="1:5" ht="17.25" customHeight="1" x14ac:dyDescent="0.15">
      <c r="A10" s="12" t="s">
        <v>45</v>
      </c>
      <c r="B10" s="12">
        <v>98</v>
      </c>
    </row>
    <row r="17" spans="1:6" ht="17.25" customHeight="1" x14ac:dyDescent="0.15">
      <c r="A17" s="14" t="s">
        <v>37</v>
      </c>
      <c r="B17" s="31" t="s">
        <v>45</v>
      </c>
      <c r="C17" s="31" t="s">
        <v>46</v>
      </c>
      <c r="D17" s="31" t="s">
        <v>45</v>
      </c>
      <c r="E17" s="31" t="s">
        <v>47</v>
      </c>
      <c r="F17" s="31" t="s">
        <v>48</v>
      </c>
    </row>
    <row r="18" spans="1:6" ht="17.25" customHeight="1" x14ac:dyDescent="0.15">
      <c r="A18" s="14" t="s">
        <v>44</v>
      </c>
      <c r="B18" s="31">
        <v>98</v>
      </c>
      <c r="C18" s="31">
        <v>147</v>
      </c>
      <c r="D18" s="31">
        <v>98</v>
      </c>
      <c r="E18" s="31">
        <v>132</v>
      </c>
      <c r="F18" s="31">
        <v>132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activeCell="G25" sqref="G25"/>
    </sheetView>
  </sheetViews>
  <sheetFormatPr defaultRowHeight="18" customHeight="1" x14ac:dyDescent="0.15"/>
  <cols>
    <col min="1" max="1" width="7.125" bestFit="1" customWidth="1"/>
    <col min="2" max="3" width="7.375" customWidth="1"/>
    <col min="6" max="6" width="6.125" customWidth="1"/>
    <col min="7" max="11" width="6.625" customWidth="1"/>
  </cols>
  <sheetData>
    <row r="1" spans="1:6" ht="18" customHeight="1" x14ac:dyDescent="0.15">
      <c r="A1" s="14" t="s">
        <v>37</v>
      </c>
      <c r="B1" s="14" t="s">
        <v>79</v>
      </c>
      <c r="C1" s="14" t="s">
        <v>44</v>
      </c>
      <c r="F1" s="3" t="s">
        <v>191</v>
      </c>
    </row>
    <row r="2" spans="1:6" ht="18" customHeight="1" x14ac:dyDescent="0.15">
      <c r="A2" s="12" t="s">
        <v>45</v>
      </c>
      <c r="B2" s="12">
        <v>184</v>
      </c>
      <c r="C2" s="12">
        <v>98</v>
      </c>
      <c r="F2" s="3" t="s">
        <v>55</v>
      </c>
    </row>
    <row r="3" spans="1:6" ht="18" customHeight="1" x14ac:dyDescent="0.15">
      <c r="A3" s="12" t="s">
        <v>46</v>
      </c>
      <c r="B3" s="12">
        <v>183</v>
      </c>
      <c r="C3" s="12">
        <v>147</v>
      </c>
      <c r="F3" t="s">
        <v>131</v>
      </c>
    </row>
    <row r="4" spans="1:6" ht="18" customHeight="1" x14ac:dyDescent="0.15">
      <c r="A4" s="12" t="s">
        <v>47</v>
      </c>
      <c r="B4" s="12">
        <v>163</v>
      </c>
      <c r="C4" s="12">
        <v>132</v>
      </c>
      <c r="F4" t="s">
        <v>132</v>
      </c>
    </row>
    <row r="5" spans="1:6" ht="18" customHeight="1" x14ac:dyDescent="0.15">
      <c r="A5" s="12" t="s">
        <v>48</v>
      </c>
      <c r="B5" s="12">
        <v>185</v>
      </c>
      <c r="C5" s="12">
        <v>132</v>
      </c>
      <c r="F5" t="s">
        <v>133</v>
      </c>
    </row>
    <row r="6" spans="1:6" ht="18" customHeight="1" x14ac:dyDescent="0.15">
      <c r="A6" s="12" t="s">
        <v>49</v>
      </c>
      <c r="B6" s="12">
        <v>150</v>
      </c>
      <c r="C6" s="12">
        <v>157</v>
      </c>
    </row>
    <row r="7" spans="1:6" ht="18" customHeight="1" x14ac:dyDescent="0.15">
      <c r="A7" s="12" t="s">
        <v>50</v>
      </c>
      <c r="B7" s="12">
        <v>163</v>
      </c>
      <c r="C7" s="12">
        <v>147</v>
      </c>
    </row>
    <row r="8" spans="1:6" ht="18" customHeight="1" x14ac:dyDescent="0.15">
      <c r="A8" s="12" t="s">
        <v>46</v>
      </c>
      <c r="B8" s="12">
        <v>183</v>
      </c>
      <c r="C8" s="12">
        <v>192</v>
      </c>
    </row>
    <row r="9" spans="1:6" ht="18" customHeight="1" x14ac:dyDescent="0.15">
      <c r="A9" s="12" t="s">
        <v>48</v>
      </c>
      <c r="B9" s="12">
        <v>169</v>
      </c>
      <c r="C9" s="12">
        <v>132</v>
      </c>
    </row>
    <row r="10" spans="1:6" ht="18" customHeight="1" x14ac:dyDescent="0.15">
      <c r="A10" s="17"/>
      <c r="B10" s="17"/>
      <c r="C10" s="17"/>
    </row>
    <row r="12" spans="1:6" ht="18" customHeight="1" x14ac:dyDescent="0.15">
      <c r="A12" s="19" t="s">
        <v>130</v>
      </c>
      <c r="B12" s="18">
        <v>183</v>
      </c>
    </row>
    <row r="13" spans="1:6" ht="18" customHeight="1" x14ac:dyDescent="0.15">
      <c r="A13" s="19" t="s">
        <v>56</v>
      </c>
      <c r="B13" s="18">
        <v>147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3"/>
  <sheetViews>
    <sheetView workbookViewId="0">
      <selection activeCell="M23" sqref="M23"/>
    </sheetView>
  </sheetViews>
  <sheetFormatPr defaultRowHeight="18" customHeight="1" x14ac:dyDescent="0.15"/>
  <cols>
    <col min="1" max="1" width="7.125" bestFit="1" customWidth="1"/>
    <col min="2" max="2" width="5.75" bestFit="1" customWidth="1"/>
    <col min="3" max="4" width="7.125" bestFit="1" customWidth="1"/>
    <col min="7" max="7" width="12.125" customWidth="1"/>
  </cols>
  <sheetData>
    <row r="1" spans="1:7" ht="18" customHeight="1" x14ac:dyDescent="0.15">
      <c r="A1" s="14" t="s">
        <v>37</v>
      </c>
      <c r="B1" s="14" t="s">
        <v>42</v>
      </c>
      <c r="C1" s="14" t="s">
        <v>43</v>
      </c>
      <c r="D1" s="14" t="s">
        <v>44</v>
      </c>
      <c r="G1" s="3" t="s">
        <v>192</v>
      </c>
    </row>
    <row r="2" spans="1:7" ht="18" customHeight="1" x14ac:dyDescent="0.15">
      <c r="A2" s="12" t="s">
        <v>45</v>
      </c>
      <c r="B2" s="12">
        <v>50</v>
      </c>
      <c r="C2" s="12">
        <v>48</v>
      </c>
      <c r="D2" s="12">
        <v>98</v>
      </c>
      <c r="G2" s="3" t="s">
        <v>51</v>
      </c>
    </row>
    <row r="3" spans="1:7" ht="18" customHeight="1" x14ac:dyDescent="0.15">
      <c r="A3" s="12" t="s">
        <v>46</v>
      </c>
      <c r="B3" s="12">
        <v>69</v>
      </c>
      <c r="C3" s="12">
        <v>78</v>
      </c>
      <c r="D3" s="12">
        <v>147</v>
      </c>
      <c r="G3" t="s">
        <v>52</v>
      </c>
    </row>
    <row r="4" spans="1:7" ht="18" customHeight="1" x14ac:dyDescent="0.15">
      <c r="A4" s="12" t="s">
        <v>47</v>
      </c>
      <c r="B4" s="12">
        <v>58</v>
      </c>
      <c r="C4" s="12">
        <v>74</v>
      </c>
      <c r="D4" s="12">
        <v>132</v>
      </c>
      <c r="G4" t="s">
        <v>53</v>
      </c>
    </row>
    <row r="5" spans="1:7" ht="18" customHeight="1" x14ac:dyDescent="0.15">
      <c r="A5" s="12" t="s">
        <v>48</v>
      </c>
      <c r="B5" s="12">
        <v>81</v>
      </c>
      <c r="C5" s="12">
        <v>51</v>
      </c>
      <c r="D5" s="12">
        <v>132</v>
      </c>
      <c r="G5" t="s">
        <v>54</v>
      </c>
    </row>
    <row r="6" spans="1:7" ht="18" customHeight="1" x14ac:dyDescent="0.15">
      <c r="A6" s="12" t="s">
        <v>49</v>
      </c>
      <c r="B6" s="12">
        <v>66</v>
      </c>
      <c r="C6" s="12">
        <v>91</v>
      </c>
      <c r="D6" s="12">
        <v>157</v>
      </c>
    </row>
    <row r="7" spans="1:7" ht="18" customHeight="1" x14ac:dyDescent="0.15">
      <c r="A7" s="12" t="s">
        <v>50</v>
      </c>
      <c r="B7" s="12">
        <v>82</v>
      </c>
      <c r="C7" s="12">
        <v>65</v>
      </c>
      <c r="D7" s="12">
        <v>147</v>
      </c>
    </row>
    <row r="10" spans="1:7" ht="18" customHeight="1" x14ac:dyDescent="0.15">
      <c r="A10" s="15" t="s">
        <v>37</v>
      </c>
      <c r="B10" s="13" t="s">
        <v>45</v>
      </c>
      <c r="C10" s="13" t="s">
        <v>46</v>
      </c>
      <c r="D10" s="13" t="s">
        <v>47</v>
      </c>
    </row>
    <row r="11" spans="1:7" ht="18" customHeight="1" x14ac:dyDescent="0.15">
      <c r="A11" s="15" t="s">
        <v>42</v>
      </c>
      <c r="B11" s="12">
        <v>50</v>
      </c>
      <c r="C11" s="12">
        <v>69</v>
      </c>
      <c r="D11" s="12">
        <v>58</v>
      </c>
    </row>
    <row r="12" spans="1:7" ht="18" customHeight="1" x14ac:dyDescent="0.15">
      <c r="A12" s="15" t="s">
        <v>43</v>
      </c>
      <c r="B12" s="12">
        <v>48</v>
      </c>
      <c r="C12" s="12">
        <v>78</v>
      </c>
      <c r="D12" s="12">
        <v>74</v>
      </c>
    </row>
    <row r="13" spans="1:7" ht="18" customHeight="1" x14ac:dyDescent="0.15">
      <c r="A13" s="15" t="s">
        <v>44</v>
      </c>
      <c r="B13" s="12">
        <v>98</v>
      </c>
      <c r="C13" s="12">
        <v>147</v>
      </c>
      <c r="D13" s="12">
        <v>132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8"/>
  <sheetViews>
    <sheetView workbookViewId="0">
      <selection activeCell="E8" sqref="E8"/>
    </sheetView>
  </sheetViews>
  <sheetFormatPr defaultRowHeight="18" customHeight="1" x14ac:dyDescent="0.15"/>
  <sheetData>
    <row r="1" spans="1:1" ht="18" customHeight="1" x14ac:dyDescent="0.15">
      <c r="A1" s="16" t="s">
        <v>193</v>
      </c>
    </row>
    <row r="2" spans="1:1" ht="18" customHeight="1" x14ac:dyDescent="0.15">
      <c r="A2" s="3" t="s">
        <v>59</v>
      </c>
    </row>
    <row r="3" spans="1:1" ht="18" customHeight="1" x14ac:dyDescent="0.15">
      <c r="A3" s="10" t="s">
        <v>57</v>
      </c>
    </row>
    <row r="4" spans="1:1" ht="18" customHeight="1" x14ac:dyDescent="0.15">
      <c r="A4" s="10" t="s">
        <v>58</v>
      </c>
    </row>
    <row r="5" spans="1:1" ht="18" customHeight="1" x14ac:dyDescent="0.15">
      <c r="A5" s="10" t="s">
        <v>60</v>
      </c>
    </row>
    <row r="6" spans="1:1" ht="18" customHeight="1" x14ac:dyDescent="0.15">
      <c r="A6" s="10" t="s">
        <v>186</v>
      </c>
    </row>
    <row r="7" spans="1:1" ht="18" customHeight="1" x14ac:dyDescent="0.15">
      <c r="A7" s="10"/>
    </row>
    <row r="8" spans="1:1" ht="18" customHeight="1" x14ac:dyDescent="0.15">
      <c r="A8" s="10"/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9"/>
  <sheetViews>
    <sheetView workbookViewId="0">
      <selection activeCell="D19" sqref="D19"/>
    </sheetView>
  </sheetViews>
  <sheetFormatPr defaultRowHeight="16.5" customHeight="1" x14ac:dyDescent="0.15"/>
  <cols>
    <col min="2" max="2" width="11.75" customWidth="1"/>
  </cols>
  <sheetData>
    <row r="1" spans="1:5" ht="16.5" customHeight="1" x14ac:dyDescent="0.15">
      <c r="A1" s="14" t="s">
        <v>98</v>
      </c>
      <c r="B1" s="14" t="s">
        <v>97</v>
      </c>
      <c r="C1" s="14" t="s">
        <v>96</v>
      </c>
      <c r="E1" s="3" t="s">
        <v>194</v>
      </c>
    </row>
    <row r="2" spans="1:5" ht="16.5" customHeight="1" x14ac:dyDescent="0.15">
      <c r="A2" s="43" t="s">
        <v>83</v>
      </c>
      <c r="B2" s="12" t="s">
        <v>80</v>
      </c>
      <c r="C2" s="12">
        <v>18980</v>
      </c>
      <c r="E2" s="3" t="s">
        <v>77</v>
      </c>
    </row>
    <row r="3" spans="1:5" ht="16.5" customHeight="1" x14ac:dyDescent="0.15">
      <c r="A3" s="43"/>
      <c r="B3" s="12" t="s">
        <v>81</v>
      </c>
      <c r="C3" s="12">
        <v>6565</v>
      </c>
    </row>
    <row r="4" spans="1:5" ht="16.5" customHeight="1" x14ac:dyDescent="0.15">
      <c r="A4" s="43"/>
      <c r="B4" s="12" t="s">
        <v>82</v>
      </c>
      <c r="C4" s="12">
        <v>14757</v>
      </c>
    </row>
    <row r="5" spans="1:5" ht="16.5" customHeight="1" x14ac:dyDescent="0.15">
      <c r="A5" s="43"/>
      <c r="B5" s="12" t="s">
        <v>85</v>
      </c>
      <c r="C5" s="12">
        <v>9968</v>
      </c>
    </row>
    <row r="6" spans="1:5" ht="16.5" customHeight="1" x14ac:dyDescent="0.15">
      <c r="A6" s="43"/>
      <c r="B6" s="12" t="s">
        <v>99</v>
      </c>
      <c r="C6" s="12">
        <v>4876</v>
      </c>
    </row>
    <row r="7" spans="1:5" ht="16.5" customHeight="1" x14ac:dyDescent="0.15">
      <c r="A7" s="43"/>
      <c r="B7" s="28" t="s">
        <v>100</v>
      </c>
      <c r="C7" s="28">
        <f>SUM(C6+C5)</f>
        <v>14844</v>
      </c>
    </row>
    <row r="8" spans="1:5" ht="16.5" customHeight="1" x14ac:dyDescent="0.15">
      <c r="A8" s="43"/>
      <c r="B8" s="12" t="s">
        <v>94</v>
      </c>
      <c r="C8" s="12" t="s">
        <v>95</v>
      </c>
    </row>
    <row r="9" spans="1:5" ht="16.5" customHeight="1" x14ac:dyDescent="0.15">
      <c r="A9" s="43"/>
      <c r="B9" s="29" t="s">
        <v>92</v>
      </c>
      <c r="C9" s="30"/>
    </row>
    <row r="10" spans="1:5" ht="16.5" customHeight="1" x14ac:dyDescent="0.15">
      <c r="A10" s="43" t="s">
        <v>84</v>
      </c>
      <c r="B10" s="12" t="s">
        <v>86</v>
      </c>
      <c r="C10" s="12">
        <v>15954</v>
      </c>
    </row>
    <row r="11" spans="1:5" ht="16.5" customHeight="1" x14ac:dyDescent="0.15">
      <c r="A11" s="43"/>
      <c r="B11" s="12" t="s">
        <v>91</v>
      </c>
      <c r="C11" s="12">
        <v>13927</v>
      </c>
    </row>
    <row r="12" spans="1:5" ht="16.5" customHeight="1" x14ac:dyDescent="0.15">
      <c r="A12" s="43"/>
      <c r="B12" s="12" t="s">
        <v>85</v>
      </c>
      <c r="C12" s="12">
        <v>16672</v>
      </c>
    </row>
    <row r="13" spans="1:5" ht="16.5" customHeight="1" x14ac:dyDescent="0.15">
      <c r="A13" s="43"/>
      <c r="B13" s="29" t="s">
        <v>92</v>
      </c>
      <c r="C13" s="29">
        <f>SUM(C10:C12)</f>
        <v>46553</v>
      </c>
    </row>
    <row r="14" spans="1:5" ht="16.5" customHeight="1" x14ac:dyDescent="0.15">
      <c r="A14" s="43" t="s">
        <v>87</v>
      </c>
      <c r="B14" s="12" t="s">
        <v>88</v>
      </c>
      <c r="C14" s="12">
        <v>6090</v>
      </c>
    </row>
    <row r="15" spans="1:5" ht="16.5" customHeight="1" x14ac:dyDescent="0.15">
      <c r="A15" s="43"/>
      <c r="B15" s="12" t="s">
        <v>89</v>
      </c>
      <c r="C15" s="12">
        <v>19269</v>
      </c>
    </row>
    <row r="16" spans="1:5" ht="16.5" customHeight="1" x14ac:dyDescent="0.15">
      <c r="A16" s="43"/>
      <c r="B16" s="12" t="s">
        <v>90</v>
      </c>
      <c r="C16" s="12">
        <v>13239</v>
      </c>
    </row>
    <row r="17" spans="1:5" ht="16.5" customHeight="1" x14ac:dyDescent="0.15">
      <c r="A17" s="43"/>
      <c r="B17" s="29" t="s">
        <v>92</v>
      </c>
      <c r="C17" s="29">
        <f>SUM(C14:C16)</f>
        <v>38598</v>
      </c>
    </row>
    <row r="18" spans="1:5" s="3" customFormat="1" ht="16.5" customHeight="1" x14ac:dyDescent="0.15">
      <c r="A18" s="29" t="s">
        <v>93</v>
      </c>
      <c r="B18" s="29"/>
      <c r="C18" s="30"/>
      <c r="E18"/>
    </row>
    <row r="19" spans="1:5" ht="16.5" customHeight="1" x14ac:dyDescent="0.15">
      <c r="E19" s="3"/>
    </row>
  </sheetData>
  <mergeCells count="3">
    <mergeCell ref="A2:A9"/>
    <mergeCell ref="A10:A13"/>
    <mergeCell ref="A14:A17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30"/>
  <sheetViews>
    <sheetView workbookViewId="0">
      <selection activeCell="G13" sqref="G13"/>
    </sheetView>
  </sheetViews>
  <sheetFormatPr defaultRowHeight="13.5" x14ac:dyDescent="0.15"/>
  <cols>
    <col min="1" max="16384" width="9" style="32"/>
  </cols>
  <sheetData>
    <row r="1" spans="1:16" x14ac:dyDescent="0.15">
      <c r="A1" s="33" t="s">
        <v>202</v>
      </c>
    </row>
    <row r="2" spans="1:16" x14ac:dyDescent="0.15">
      <c r="A2" s="33" t="s">
        <v>215</v>
      </c>
    </row>
    <row r="3" spans="1:16" x14ac:dyDescent="0.15">
      <c r="A3" s="33"/>
    </row>
    <row r="5" spans="1:16" x14ac:dyDescent="0.15">
      <c r="A5" s="10" t="s">
        <v>203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10"/>
    </row>
    <row r="6" spans="1:16" x14ac:dyDescent="0.15">
      <c r="A6" s="10" t="s">
        <v>204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10"/>
    </row>
    <row r="7" spans="1:16" x14ac:dyDescent="0.15">
      <c r="A7" s="10" t="s">
        <v>45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10"/>
    </row>
    <row r="8" spans="1:16" x14ac:dyDescent="0.15">
      <c r="A8" s="10">
        <v>184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10"/>
    </row>
    <row r="9" spans="1:16" x14ac:dyDescent="0.15">
      <c r="A9" s="10" t="s">
        <v>46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10"/>
    </row>
    <row r="10" spans="1:16" x14ac:dyDescent="0.15">
      <c r="A10" s="10">
        <v>183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10"/>
    </row>
    <row r="11" spans="1:16" x14ac:dyDescent="0.15">
      <c r="A11" s="1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10"/>
    </row>
    <row r="12" spans="1:16" x14ac:dyDescent="0.15">
      <c r="A12" s="10">
        <v>163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10"/>
    </row>
    <row r="13" spans="1:16" x14ac:dyDescent="0.15">
      <c r="A13" s="10" t="s">
        <v>48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10"/>
    </row>
    <row r="14" spans="1:16" x14ac:dyDescent="0.15">
      <c r="A14" s="10">
        <v>185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10"/>
    </row>
    <row r="15" spans="1:16" x14ac:dyDescent="0.15">
      <c r="A15" s="10" t="s">
        <v>49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10"/>
    </row>
    <row r="16" spans="1:16" x14ac:dyDescent="0.15">
      <c r="A16" s="10">
        <v>150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10"/>
    </row>
    <row r="17" spans="1:16" x14ac:dyDescent="0.15">
      <c r="A17" s="10" t="s">
        <v>50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10"/>
    </row>
    <row r="18" spans="1:16" x14ac:dyDescent="0.15">
      <c r="A18" s="10">
        <v>163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10"/>
    </row>
    <row r="19" spans="1:16" x14ac:dyDescent="0.15">
      <c r="A19" s="10" t="s">
        <v>46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10"/>
    </row>
    <row r="20" spans="1:16" x14ac:dyDescent="0.15">
      <c r="A20" s="10">
        <v>183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10"/>
    </row>
    <row r="21" spans="1:16" x14ac:dyDescent="0.15">
      <c r="A21" s="10" t="s">
        <v>48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10"/>
    </row>
    <row r="22" spans="1:16" x14ac:dyDescent="0.15">
      <c r="A22" s="10">
        <v>169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10"/>
    </row>
    <row r="23" spans="1:16" x14ac:dyDescent="0.15">
      <c r="A23" s="10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10"/>
    </row>
    <row r="24" spans="1:16" x14ac:dyDescent="0.1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</row>
    <row r="25" spans="1:16" x14ac:dyDescent="0.15">
      <c r="A25" s="10" t="s">
        <v>45</v>
      </c>
      <c r="B25" s="10">
        <v>184</v>
      </c>
      <c r="C25" s="10" t="s">
        <v>46</v>
      </c>
      <c r="D25" s="10">
        <v>183</v>
      </c>
      <c r="E25" s="10" t="s">
        <v>47</v>
      </c>
      <c r="F25" s="10">
        <v>163</v>
      </c>
      <c r="G25" s="10" t="s">
        <v>48</v>
      </c>
      <c r="H25" s="10">
        <v>185</v>
      </c>
      <c r="I25" s="10" t="s">
        <v>49</v>
      </c>
      <c r="J25" s="10">
        <v>150</v>
      </c>
      <c r="K25" s="10" t="s">
        <v>50</v>
      </c>
      <c r="L25" s="10">
        <v>163</v>
      </c>
      <c r="M25" s="10" t="s">
        <v>46</v>
      </c>
      <c r="N25" s="10">
        <v>183</v>
      </c>
      <c r="O25" s="10" t="s">
        <v>48</v>
      </c>
      <c r="P25" s="10">
        <v>169</v>
      </c>
    </row>
    <row r="26" spans="1:16" x14ac:dyDescent="0.1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6" x14ac:dyDescent="0.1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6" x14ac:dyDescent="0.15">
      <c r="A28" s="10" t="s">
        <v>48</v>
      </c>
      <c r="B28" s="10">
        <v>169</v>
      </c>
      <c r="C28" s="10" t="s">
        <v>45</v>
      </c>
      <c r="D28" s="10">
        <v>184</v>
      </c>
      <c r="E28" s="10" t="s">
        <v>46</v>
      </c>
      <c r="F28" s="10">
        <v>183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6" x14ac:dyDescent="0.15">
      <c r="A29" s="10" t="s">
        <v>47</v>
      </c>
      <c r="B29" s="10">
        <v>163</v>
      </c>
      <c r="C29" s="10" t="s">
        <v>48</v>
      </c>
      <c r="D29" s="10">
        <v>185</v>
      </c>
      <c r="E29" s="10" t="s">
        <v>49</v>
      </c>
      <c r="F29" s="10">
        <v>150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</row>
    <row r="30" spans="1:16" x14ac:dyDescent="0.15">
      <c r="A30" s="10" t="s">
        <v>50</v>
      </c>
      <c r="B30" s="10">
        <v>163</v>
      </c>
      <c r="C30" s="10" t="s">
        <v>46</v>
      </c>
      <c r="D30" s="10">
        <v>183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110"/>
  <sheetViews>
    <sheetView workbookViewId="0">
      <selection activeCell="H16" sqref="H16"/>
    </sheetView>
  </sheetViews>
  <sheetFormatPr defaultRowHeight="17.25" customHeight="1" x14ac:dyDescent="0.15"/>
  <cols>
    <col min="1" max="1" width="14.875" customWidth="1"/>
    <col min="3" max="3" width="11.375" customWidth="1"/>
    <col min="5" max="5" width="12.125" customWidth="1"/>
    <col min="13" max="13" width="28.25" bestFit="1" customWidth="1"/>
  </cols>
  <sheetData>
    <row r="1" spans="1:13" ht="17.25" customHeight="1" x14ac:dyDescent="0.15">
      <c r="A1" s="3" t="s">
        <v>216</v>
      </c>
      <c r="M1" s="36" t="s">
        <v>326</v>
      </c>
    </row>
    <row r="2" spans="1:13" ht="17.25" customHeight="1" x14ac:dyDescent="0.15">
      <c r="A2" s="3" t="s">
        <v>327</v>
      </c>
      <c r="M2" t="s">
        <v>217</v>
      </c>
    </row>
    <row r="3" spans="1:13" ht="17.25" customHeight="1" x14ac:dyDescent="0.15">
      <c r="A3" s="10" t="s">
        <v>339</v>
      </c>
      <c r="M3" t="s">
        <v>218</v>
      </c>
    </row>
    <row r="4" spans="1:13" ht="17.25" customHeight="1" x14ac:dyDescent="0.15">
      <c r="A4" s="10" t="s">
        <v>328</v>
      </c>
      <c r="M4" t="s">
        <v>219</v>
      </c>
    </row>
    <row r="5" spans="1:13" ht="17.25" customHeight="1" x14ac:dyDescent="0.15">
      <c r="A5" s="10"/>
      <c r="M5" t="s">
        <v>220</v>
      </c>
    </row>
    <row r="6" spans="1:13" ht="17.25" customHeight="1" x14ac:dyDescent="0.15">
      <c r="A6" s="10"/>
      <c r="M6" t="s">
        <v>221</v>
      </c>
    </row>
    <row r="7" spans="1:13" ht="17.25" customHeight="1" x14ac:dyDescent="0.15">
      <c r="A7" s="10"/>
      <c r="B7" s="37" t="s">
        <v>332</v>
      </c>
      <c r="C7" s="37" t="s">
        <v>321</v>
      </c>
      <c r="D7" s="37" t="s">
        <v>229</v>
      </c>
      <c r="E7" s="37" t="s">
        <v>289</v>
      </c>
      <c r="F7" s="37" t="s">
        <v>333</v>
      </c>
      <c r="G7" s="37" t="s">
        <v>233</v>
      </c>
      <c r="H7" s="37" t="s">
        <v>334</v>
      </c>
      <c r="M7" t="s">
        <v>222</v>
      </c>
    </row>
    <row r="8" spans="1:13" ht="17.25" customHeight="1" x14ac:dyDescent="0.15">
      <c r="B8" s="38" t="s">
        <v>329</v>
      </c>
      <c r="C8" s="38" t="s">
        <v>335</v>
      </c>
      <c r="D8" s="38" t="s">
        <v>336</v>
      </c>
      <c r="E8" s="38" t="s">
        <v>337</v>
      </c>
      <c r="F8" s="38" t="s">
        <v>338</v>
      </c>
      <c r="G8" s="38" t="s">
        <v>330</v>
      </c>
      <c r="H8" s="38" t="s">
        <v>331</v>
      </c>
      <c r="M8" t="s">
        <v>223</v>
      </c>
    </row>
    <row r="9" spans="1:13" ht="17.25" customHeight="1" x14ac:dyDescent="0.15">
      <c r="M9" t="s">
        <v>224</v>
      </c>
    </row>
    <row r="10" spans="1:13" ht="17.25" customHeight="1" x14ac:dyDescent="0.15">
      <c r="M10" t="s">
        <v>225</v>
      </c>
    </row>
    <row r="11" spans="1:13" ht="17.25" customHeight="1" x14ac:dyDescent="0.15">
      <c r="M11" t="s">
        <v>226</v>
      </c>
    </row>
    <row r="12" spans="1:13" ht="17.25" customHeight="1" x14ac:dyDescent="0.15">
      <c r="M12" t="s">
        <v>227</v>
      </c>
    </row>
    <row r="13" spans="1:13" ht="17.25" customHeight="1" x14ac:dyDescent="0.15">
      <c r="M13" t="s">
        <v>228</v>
      </c>
    </row>
    <row r="14" spans="1:13" ht="17.25" customHeight="1" x14ac:dyDescent="0.15">
      <c r="M14" t="s">
        <v>229</v>
      </c>
    </row>
    <row r="15" spans="1:13" ht="17.25" customHeight="1" x14ac:dyDescent="0.15">
      <c r="M15" t="s">
        <v>230</v>
      </c>
    </row>
    <row r="16" spans="1:13" ht="17.25" customHeight="1" x14ac:dyDescent="0.15">
      <c r="M16" t="s">
        <v>231</v>
      </c>
    </row>
    <row r="17" spans="13:13" ht="17.25" customHeight="1" x14ac:dyDescent="0.15">
      <c r="M17" t="s">
        <v>232</v>
      </c>
    </row>
    <row r="18" spans="13:13" ht="17.25" customHeight="1" x14ac:dyDescent="0.15">
      <c r="M18" t="s">
        <v>233</v>
      </c>
    </row>
    <row r="19" spans="13:13" ht="17.25" customHeight="1" x14ac:dyDescent="0.15">
      <c r="M19" t="s">
        <v>234</v>
      </c>
    </row>
    <row r="20" spans="13:13" ht="17.25" customHeight="1" x14ac:dyDescent="0.15">
      <c r="M20" t="s">
        <v>235</v>
      </c>
    </row>
    <row r="21" spans="13:13" ht="17.25" customHeight="1" x14ac:dyDescent="0.15">
      <c r="M21" t="s">
        <v>236</v>
      </c>
    </row>
    <row r="22" spans="13:13" ht="17.25" customHeight="1" x14ac:dyDescent="0.15">
      <c r="M22" t="s">
        <v>237</v>
      </c>
    </row>
    <row r="23" spans="13:13" ht="17.25" customHeight="1" x14ac:dyDescent="0.15">
      <c r="M23" t="s">
        <v>238</v>
      </c>
    </row>
    <row r="24" spans="13:13" ht="17.25" customHeight="1" x14ac:dyDescent="0.15">
      <c r="M24" t="s">
        <v>239</v>
      </c>
    </row>
    <row r="25" spans="13:13" ht="17.25" customHeight="1" x14ac:dyDescent="0.15">
      <c r="M25" t="s">
        <v>240</v>
      </c>
    </row>
    <row r="26" spans="13:13" ht="17.25" customHeight="1" x14ac:dyDescent="0.15">
      <c r="M26" t="s">
        <v>241</v>
      </c>
    </row>
    <row r="27" spans="13:13" ht="17.25" customHeight="1" x14ac:dyDescent="0.15">
      <c r="M27" t="s">
        <v>242</v>
      </c>
    </row>
    <row r="28" spans="13:13" ht="17.25" customHeight="1" x14ac:dyDescent="0.15">
      <c r="M28" t="s">
        <v>243</v>
      </c>
    </row>
    <row r="29" spans="13:13" ht="17.25" customHeight="1" x14ac:dyDescent="0.15">
      <c r="M29" t="s">
        <v>244</v>
      </c>
    </row>
    <row r="30" spans="13:13" ht="17.25" customHeight="1" x14ac:dyDescent="0.15">
      <c r="M30" t="s">
        <v>245</v>
      </c>
    </row>
    <row r="31" spans="13:13" ht="17.25" customHeight="1" x14ac:dyDescent="0.15">
      <c r="M31" t="s">
        <v>246</v>
      </c>
    </row>
    <row r="32" spans="13:13" ht="17.25" customHeight="1" x14ac:dyDescent="0.15">
      <c r="M32" t="s">
        <v>247</v>
      </c>
    </row>
    <row r="33" spans="13:13" ht="17.25" customHeight="1" x14ac:dyDescent="0.15">
      <c r="M33" t="s">
        <v>248</v>
      </c>
    </row>
    <row r="34" spans="13:13" ht="17.25" customHeight="1" x14ac:dyDescent="0.15">
      <c r="M34" t="s">
        <v>249</v>
      </c>
    </row>
    <row r="35" spans="13:13" ht="17.25" customHeight="1" x14ac:dyDescent="0.15">
      <c r="M35" t="s">
        <v>250</v>
      </c>
    </row>
    <row r="36" spans="13:13" ht="17.25" customHeight="1" x14ac:dyDescent="0.15">
      <c r="M36" t="s">
        <v>251</v>
      </c>
    </row>
    <row r="37" spans="13:13" ht="17.25" customHeight="1" x14ac:dyDescent="0.15">
      <c r="M37" t="s">
        <v>252</v>
      </c>
    </row>
    <row r="38" spans="13:13" ht="17.25" customHeight="1" x14ac:dyDescent="0.15">
      <c r="M38" t="s">
        <v>253</v>
      </c>
    </row>
    <row r="39" spans="13:13" ht="17.25" customHeight="1" x14ac:dyDescent="0.15">
      <c r="M39" t="s">
        <v>254</v>
      </c>
    </row>
    <row r="40" spans="13:13" ht="17.25" customHeight="1" x14ac:dyDescent="0.15">
      <c r="M40" t="s">
        <v>255</v>
      </c>
    </row>
    <row r="41" spans="13:13" ht="17.25" customHeight="1" x14ac:dyDescent="0.15">
      <c r="M41" t="s">
        <v>256</v>
      </c>
    </row>
    <row r="42" spans="13:13" ht="17.25" customHeight="1" x14ac:dyDescent="0.15">
      <c r="M42" t="s">
        <v>257</v>
      </c>
    </row>
    <row r="43" spans="13:13" ht="17.25" customHeight="1" x14ac:dyDescent="0.15">
      <c r="M43" t="s">
        <v>258</v>
      </c>
    </row>
    <row r="44" spans="13:13" ht="17.25" customHeight="1" x14ac:dyDescent="0.15">
      <c r="M44" t="s">
        <v>259</v>
      </c>
    </row>
    <row r="45" spans="13:13" ht="17.25" customHeight="1" x14ac:dyDescent="0.15">
      <c r="M45" t="s">
        <v>260</v>
      </c>
    </row>
    <row r="46" spans="13:13" ht="17.25" customHeight="1" x14ac:dyDescent="0.15">
      <c r="M46" t="s">
        <v>261</v>
      </c>
    </row>
    <row r="47" spans="13:13" ht="17.25" customHeight="1" x14ac:dyDescent="0.15">
      <c r="M47" t="s">
        <v>262</v>
      </c>
    </row>
    <row r="48" spans="13:13" ht="17.25" customHeight="1" x14ac:dyDescent="0.15">
      <c r="M48" t="s">
        <v>263</v>
      </c>
    </row>
    <row r="49" spans="13:13" ht="17.25" customHeight="1" x14ac:dyDescent="0.15">
      <c r="M49" t="s">
        <v>264</v>
      </c>
    </row>
    <row r="50" spans="13:13" ht="17.25" customHeight="1" x14ac:dyDescent="0.15">
      <c r="M50" t="s">
        <v>265</v>
      </c>
    </row>
    <row r="51" spans="13:13" ht="17.25" customHeight="1" x14ac:dyDescent="0.15">
      <c r="M51" t="s">
        <v>266</v>
      </c>
    </row>
    <row r="52" spans="13:13" ht="17.25" customHeight="1" x14ac:dyDescent="0.15">
      <c r="M52" t="s">
        <v>267</v>
      </c>
    </row>
    <row r="53" spans="13:13" ht="17.25" customHeight="1" x14ac:dyDescent="0.15">
      <c r="M53" t="s">
        <v>268</v>
      </c>
    </row>
    <row r="54" spans="13:13" ht="17.25" customHeight="1" x14ac:dyDescent="0.15">
      <c r="M54" t="s">
        <v>269</v>
      </c>
    </row>
    <row r="55" spans="13:13" ht="17.25" customHeight="1" x14ac:dyDescent="0.15">
      <c r="M55" t="s">
        <v>270</v>
      </c>
    </row>
    <row r="56" spans="13:13" ht="17.25" customHeight="1" x14ac:dyDescent="0.15">
      <c r="M56" t="s">
        <v>271</v>
      </c>
    </row>
    <row r="57" spans="13:13" ht="17.25" customHeight="1" x14ac:dyDescent="0.15">
      <c r="M57" t="s">
        <v>272</v>
      </c>
    </row>
    <row r="58" spans="13:13" ht="17.25" customHeight="1" x14ac:dyDescent="0.15">
      <c r="M58" t="s">
        <v>273</v>
      </c>
    </row>
    <row r="59" spans="13:13" ht="17.25" customHeight="1" x14ac:dyDescent="0.15">
      <c r="M59" t="s">
        <v>274</v>
      </c>
    </row>
    <row r="60" spans="13:13" ht="17.25" customHeight="1" x14ac:dyDescent="0.15">
      <c r="M60" t="s">
        <v>275</v>
      </c>
    </row>
    <row r="61" spans="13:13" ht="17.25" customHeight="1" x14ac:dyDescent="0.15">
      <c r="M61" t="s">
        <v>276</v>
      </c>
    </row>
    <row r="62" spans="13:13" ht="17.25" customHeight="1" x14ac:dyDescent="0.15">
      <c r="M62" t="s">
        <v>277</v>
      </c>
    </row>
    <row r="63" spans="13:13" ht="17.25" customHeight="1" x14ac:dyDescent="0.15">
      <c r="M63" t="s">
        <v>278</v>
      </c>
    </row>
    <row r="64" spans="13:13" ht="17.25" customHeight="1" x14ac:dyDescent="0.15">
      <c r="M64" t="s">
        <v>279</v>
      </c>
    </row>
    <row r="65" spans="13:13" ht="17.25" customHeight="1" x14ac:dyDescent="0.15">
      <c r="M65" t="s">
        <v>280</v>
      </c>
    </row>
    <row r="66" spans="13:13" ht="17.25" customHeight="1" x14ac:dyDescent="0.15">
      <c r="M66" t="s">
        <v>281</v>
      </c>
    </row>
    <row r="67" spans="13:13" ht="17.25" customHeight="1" x14ac:dyDescent="0.15">
      <c r="M67" t="s">
        <v>282</v>
      </c>
    </row>
    <row r="68" spans="13:13" ht="17.25" customHeight="1" x14ac:dyDescent="0.15">
      <c r="M68" t="s">
        <v>283</v>
      </c>
    </row>
    <row r="69" spans="13:13" ht="17.25" customHeight="1" x14ac:dyDescent="0.15">
      <c r="M69" t="s">
        <v>284</v>
      </c>
    </row>
    <row r="70" spans="13:13" ht="17.25" customHeight="1" x14ac:dyDescent="0.15">
      <c r="M70" t="s">
        <v>285</v>
      </c>
    </row>
    <row r="71" spans="13:13" ht="17.25" customHeight="1" x14ac:dyDescent="0.15">
      <c r="M71" t="s">
        <v>286</v>
      </c>
    </row>
    <row r="72" spans="13:13" ht="17.25" customHeight="1" x14ac:dyDescent="0.15">
      <c r="M72" t="s">
        <v>287</v>
      </c>
    </row>
    <row r="73" spans="13:13" ht="17.25" customHeight="1" x14ac:dyDescent="0.15">
      <c r="M73" t="s">
        <v>288</v>
      </c>
    </row>
    <row r="74" spans="13:13" ht="17.25" customHeight="1" x14ac:dyDescent="0.15">
      <c r="M74" t="s">
        <v>289</v>
      </c>
    </row>
    <row r="75" spans="13:13" ht="17.25" customHeight="1" x14ac:dyDescent="0.15">
      <c r="M75" t="s">
        <v>290</v>
      </c>
    </row>
    <row r="76" spans="13:13" ht="17.25" customHeight="1" x14ac:dyDescent="0.15">
      <c r="M76" t="s">
        <v>291</v>
      </c>
    </row>
    <row r="77" spans="13:13" ht="17.25" customHeight="1" x14ac:dyDescent="0.15">
      <c r="M77" t="s">
        <v>292</v>
      </c>
    </row>
    <row r="78" spans="13:13" ht="17.25" customHeight="1" x14ac:dyDescent="0.15">
      <c r="M78" t="s">
        <v>293</v>
      </c>
    </row>
    <row r="79" spans="13:13" ht="17.25" customHeight="1" x14ac:dyDescent="0.15">
      <c r="M79" t="s">
        <v>294</v>
      </c>
    </row>
    <row r="80" spans="13:13" ht="17.25" customHeight="1" x14ac:dyDescent="0.15">
      <c r="M80" t="s">
        <v>295</v>
      </c>
    </row>
    <row r="81" spans="13:13" ht="17.25" customHeight="1" x14ac:dyDescent="0.15">
      <c r="M81" t="s">
        <v>296</v>
      </c>
    </row>
    <row r="82" spans="13:13" ht="17.25" customHeight="1" x14ac:dyDescent="0.15">
      <c r="M82" t="s">
        <v>297</v>
      </c>
    </row>
    <row r="83" spans="13:13" ht="17.25" customHeight="1" x14ac:dyDescent="0.15">
      <c r="M83" t="s">
        <v>298</v>
      </c>
    </row>
    <row r="84" spans="13:13" ht="17.25" customHeight="1" x14ac:dyDescent="0.15">
      <c r="M84" t="s">
        <v>299</v>
      </c>
    </row>
    <row r="85" spans="13:13" ht="17.25" customHeight="1" x14ac:dyDescent="0.15">
      <c r="M85" t="s">
        <v>300</v>
      </c>
    </row>
    <row r="86" spans="13:13" ht="17.25" customHeight="1" x14ac:dyDescent="0.15">
      <c r="M86" t="s">
        <v>301</v>
      </c>
    </row>
    <row r="87" spans="13:13" ht="17.25" customHeight="1" x14ac:dyDescent="0.15">
      <c r="M87" t="s">
        <v>302</v>
      </c>
    </row>
    <row r="88" spans="13:13" ht="17.25" customHeight="1" x14ac:dyDescent="0.15">
      <c r="M88" t="s">
        <v>303</v>
      </c>
    </row>
    <row r="89" spans="13:13" ht="17.25" customHeight="1" x14ac:dyDescent="0.15">
      <c r="M89" t="s">
        <v>304</v>
      </c>
    </row>
    <row r="90" spans="13:13" ht="17.25" customHeight="1" x14ac:dyDescent="0.15">
      <c r="M90" t="s">
        <v>305</v>
      </c>
    </row>
    <row r="91" spans="13:13" ht="17.25" customHeight="1" x14ac:dyDescent="0.15">
      <c r="M91" t="s">
        <v>306</v>
      </c>
    </row>
    <row r="92" spans="13:13" ht="17.25" customHeight="1" x14ac:dyDescent="0.15">
      <c r="M92" t="s">
        <v>307</v>
      </c>
    </row>
    <row r="93" spans="13:13" ht="17.25" customHeight="1" x14ac:dyDescent="0.15">
      <c r="M93" t="s">
        <v>308</v>
      </c>
    </row>
    <row r="94" spans="13:13" ht="17.25" customHeight="1" x14ac:dyDescent="0.15">
      <c r="M94" t="s">
        <v>309</v>
      </c>
    </row>
    <row r="95" spans="13:13" ht="17.25" customHeight="1" x14ac:dyDescent="0.15">
      <c r="M95" t="s">
        <v>310</v>
      </c>
    </row>
    <row r="96" spans="13:13" ht="17.25" customHeight="1" x14ac:dyDescent="0.15">
      <c r="M96" t="s">
        <v>311</v>
      </c>
    </row>
    <row r="97" spans="13:13" ht="17.25" customHeight="1" x14ac:dyDescent="0.15">
      <c r="M97" t="s">
        <v>312</v>
      </c>
    </row>
    <row r="98" spans="13:13" ht="17.25" customHeight="1" x14ac:dyDescent="0.15">
      <c r="M98" t="s">
        <v>313</v>
      </c>
    </row>
    <row r="99" spans="13:13" ht="17.25" customHeight="1" x14ac:dyDescent="0.15">
      <c r="M99" t="s">
        <v>314</v>
      </c>
    </row>
    <row r="100" spans="13:13" ht="17.25" customHeight="1" x14ac:dyDescent="0.15">
      <c r="M100" t="s">
        <v>315</v>
      </c>
    </row>
    <row r="101" spans="13:13" ht="17.25" customHeight="1" x14ac:dyDescent="0.15">
      <c r="M101" t="s">
        <v>316</v>
      </c>
    </row>
    <row r="102" spans="13:13" ht="17.25" customHeight="1" x14ac:dyDescent="0.15">
      <c r="M102" t="s">
        <v>317</v>
      </c>
    </row>
    <row r="103" spans="13:13" ht="17.25" customHeight="1" x14ac:dyDescent="0.15">
      <c r="M103" t="s">
        <v>318</v>
      </c>
    </row>
    <row r="104" spans="13:13" ht="17.25" customHeight="1" x14ac:dyDescent="0.15">
      <c r="M104" t="s">
        <v>319</v>
      </c>
    </row>
    <row r="105" spans="13:13" ht="17.25" customHeight="1" x14ac:dyDescent="0.15">
      <c r="M105" t="s">
        <v>320</v>
      </c>
    </row>
    <row r="106" spans="13:13" ht="17.25" customHeight="1" x14ac:dyDescent="0.15">
      <c r="M106" t="s">
        <v>321</v>
      </c>
    </row>
    <row r="107" spans="13:13" ht="17.25" customHeight="1" x14ac:dyDescent="0.15">
      <c r="M107" t="s">
        <v>322</v>
      </c>
    </row>
    <row r="108" spans="13:13" ht="17.25" customHeight="1" x14ac:dyDescent="0.15">
      <c r="M108" t="s">
        <v>323</v>
      </c>
    </row>
    <row r="109" spans="13:13" ht="17.25" customHeight="1" x14ac:dyDescent="0.15">
      <c r="M109" t="s">
        <v>324</v>
      </c>
    </row>
    <row r="110" spans="13:13" ht="17.25" customHeight="1" x14ac:dyDescent="0.15">
      <c r="M110" t="s">
        <v>325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74"/>
  <sheetViews>
    <sheetView workbookViewId="0">
      <selection activeCell="K17" sqref="K17"/>
    </sheetView>
  </sheetViews>
  <sheetFormatPr defaultRowHeight="16.5" customHeight="1" x14ac:dyDescent="0.15"/>
  <cols>
    <col min="2" max="7" width="7.75" customWidth="1"/>
  </cols>
  <sheetData>
    <row r="1" spans="1:7" ht="16.5" customHeight="1" x14ac:dyDescent="0.15">
      <c r="A1" s="38" t="s">
        <v>341</v>
      </c>
      <c r="B1" s="38">
        <v>2015</v>
      </c>
      <c r="C1" s="38">
        <v>2016</v>
      </c>
      <c r="D1" s="38">
        <v>2017</v>
      </c>
      <c r="E1" s="38">
        <v>2018</v>
      </c>
      <c r="F1" s="38">
        <v>2019</v>
      </c>
      <c r="G1" s="38">
        <v>2020</v>
      </c>
    </row>
    <row r="2" spans="1:7" ht="16.5" customHeight="1" x14ac:dyDescent="0.15">
      <c r="A2" t="s">
        <v>342</v>
      </c>
      <c r="B2">
        <v>677</v>
      </c>
      <c r="C2">
        <v>3561</v>
      </c>
      <c r="D2">
        <v>3529</v>
      </c>
      <c r="E2">
        <v>2376</v>
      </c>
      <c r="F2">
        <v>3393</v>
      </c>
      <c r="G2">
        <v>4004</v>
      </c>
    </row>
    <row r="3" spans="1:7" ht="16.5" customHeight="1" x14ac:dyDescent="0.15">
      <c r="A3" t="s">
        <v>17</v>
      </c>
      <c r="B3">
        <v>1608</v>
      </c>
      <c r="C3">
        <v>2396</v>
      </c>
      <c r="D3">
        <v>1122</v>
      </c>
      <c r="E3">
        <v>1690</v>
      </c>
      <c r="F3">
        <v>1775</v>
      </c>
      <c r="G3">
        <v>3191</v>
      </c>
    </row>
    <row r="4" spans="1:7" ht="16.5" customHeight="1" x14ac:dyDescent="0.15">
      <c r="A4" t="s">
        <v>343</v>
      </c>
      <c r="B4">
        <v>527</v>
      </c>
      <c r="C4">
        <v>3662</v>
      </c>
      <c r="D4">
        <v>1823</v>
      </c>
      <c r="E4">
        <v>4475</v>
      </c>
      <c r="F4">
        <v>2480</v>
      </c>
      <c r="G4">
        <v>2814</v>
      </c>
    </row>
    <row r="5" spans="1:7" ht="16.5" customHeight="1" x14ac:dyDescent="0.15">
      <c r="A5" t="s">
        <v>344</v>
      </c>
      <c r="B5">
        <v>1403</v>
      </c>
      <c r="C5">
        <v>3781</v>
      </c>
      <c r="D5">
        <v>517</v>
      </c>
      <c r="E5">
        <v>3871</v>
      </c>
      <c r="F5">
        <v>4388</v>
      </c>
      <c r="G5">
        <v>4179</v>
      </c>
    </row>
    <row r="6" spans="1:7" ht="16.5" customHeight="1" x14ac:dyDescent="0.15">
      <c r="A6" t="s">
        <v>345</v>
      </c>
      <c r="B6">
        <v>4906</v>
      </c>
      <c r="C6">
        <v>514</v>
      </c>
      <c r="D6">
        <v>2336</v>
      </c>
      <c r="E6">
        <v>1406</v>
      </c>
      <c r="F6">
        <v>3939</v>
      </c>
      <c r="G6">
        <v>955</v>
      </c>
    </row>
    <row r="7" spans="1:7" ht="16.5" customHeight="1" x14ac:dyDescent="0.15">
      <c r="A7" t="s">
        <v>346</v>
      </c>
      <c r="B7">
        <v>3466</v>
      </c>
      <c r="C7">
        <v>3145</v>
      </c>
      <c r="D7">
        <v>2501</v>
      </c>
      <c r="E7">
        <v>675</v>
      </c>
      <c r="F7">
        <v>576</v>
      </c>
      <c r="G7">
        <v>3733</v>
      </c>
    </row>
    <row r="8" spans="1:7" ht="16.5" customHeight="1" x14ac:dyDescent="0.15">
      <c r="A8" t="s">
        <v>347</v>
      </c>
      <c r="B8">
        <v>3886</v>
      </c>
      <c r="C8">
        <v>4042</v>
      </c>
      <c r="D8">
        <v>2043</v>
      </c>
      <c r="E8">
        <v>3306</v>
      </c>
      <c r="F8">
        <v>759</v>
      </c>
      <c r="G8">
        <v>1330</v>
      </c>
    </row>
    <row r="9" spans="1:7" ht="16.5" customHeight="1" x14ac:dyDescent="0.15">
      <c r="A9" t="s">
        <v>348</v>
      </c>
      <c r="B9">
        <v>2340</v>
      </c>
      <c r="C9">
        <v>2175</v>
      </c>
      <c r="D9">
        <v>3886</v>
      </c>
      <c r="E9">
        <v>1392</v>
      </c>
      <c r="F9">
        <v>2313</v>
      </c>
      <c r="G9">
        <v>2078</v>
      </c>
    </row>
    <row r="10" spans="1:7" ht="16.5" customHeight="1" x14ac:dyDescent="0.15">
      <c r="A10" t="s">
        <v>349</v>
      </c>
      <c r="B10">
        <v>3541</v>
      </c>
      <c r="C10">
        <v>1452</v>
      </c>
      <c r="D10">
        <v>1762</v>
      </c>
      <c r="E10">
        <v>3840</v>
      </c>
      <c r="F10">
        <v>2302</v>
      </c>
      <c r="G10">
        <v>1538</v>
      </c>
    </row>
    <row r="11" spans="1:7" ht="16.5" customHeight="1" x14ac:dyDescent="0.15">
      <c r="A11" t="s">
        <v>20</v>
      </c>
      <c r="B11">
        <v>3828</v>
      </c>
      <c r="C11">
        <v>3714</v>
      </c>
      <c r="D11">
        <v>4710</v>
      </c>
      <c r="E11">
        <v>1630</v>
      </c>
      <c r="F11">
        <v>2871</v>
      </c>
      <c r="G11">
        <v>4293</v>
      </c>
    </row>
    <row r="14" spans="1:7" ht="16.5" customHeight="1" x14ac:dyDescent="0.15">
      <c r="A14" s="38" t="s">
        <v>340</v>
      </c>
      <c r="B14" s="38" t="s">
        <v>352</v>
      </c>
      <c r="C14" s="38" t="s">
        <v>353</v>
      </c>
    </row>
    <row r="15" spans="1:7" ht="16.5" customHeight="1" x14ac:dyDescent="0.15">
      <c r="A15" t="s">
        <v>342</v>
      </c>
      <c r="B15">
        <v>2015</v>
      </c>
      <c r="C15">
        <v>677</v>
      </c>
    </row>
    <row r="16" spans="1:7" ht="16.5" customHeight="1" x14ac:dyDescent="0.15">
      <c r="A16" t="s">
        <v>342</v>
      </c>
      <c r="B16">
        <v>2016</v>
      </c>
      <c r="C16">
        <v>3561</v>
      </c>
    </row>
    <row r="17" spans="1:3" ht="16.5" customHeight="1" x14ac:dyDescent="0.15">
      <c r="A17" t="s">
        <v>342</v>
      </c>
      <c r="B17">
        <v>2017</v>
      </c>
      <c r="C17">
        <v>3529</v>
      </c>
    </row>
    <row r="18" spans="1:3" ht="16.5" customHeight="1" x14ac:dyDescent="0.15">
      <c r="A18" t="s">
        <v>342</v>
      </c>
      <c r="B18">
        <v>2018</v>
      </c>
      <c r="C18">
        <v>2376</v>
      </c>
    </row>
    <row r="19" spans="1:3" ht="16.5" customHeight="1" x14ac:dyDescent="0.15">
      <c r="A19" t="s">
        <v>342</v>
      </c>
      <c r="B19">
        <v>2019</v>
      </c>
      <c r="C19">
        <v>3393</v>
      </c>
    </row>
    <row r="20" spans="1:3" ht="16.5" customHeight="1" x14ac:dyDescent="0.15">
      <c r="A20" t="s">
        <v>342</v>
      </c>
      <c r="B20">
        <v>2020</v>
      </c>
      <c r="C20">
        <v>4004</v>
      </c>
    </row>
    <row r="21" spans="1:3" ht="16.5" customHeight="1" x14ac:dyDescent="0.15">
      <c r="A21" t="s">
        <v>350</v>
      </c>
      <c r="B21">
        <v>2015</v>
      </c>
      <c r="C21">
        <v>1608</v>
      </c>
    </row>
    <row r="22" spans="1:3" ht="16.5" customHeight="1" x14ac:dyDescent="0.15">
      <c r="A22" t="s">
        <v>350</v>
      </c>
      <c r="B22">
        <v>2016</v>
      </c>
      <c r="C22">
        <v>2396</v>
      </c>
    </row>
    <row r="23" spans="1:3" ht="16.5" customHeight="1" x14ac:dyDescent="0.15">
      <c r="A23" t="s">
        <v>350</v>
      </c>
      <c r="B23">
        <v>2017</v>
      </c>
      <c r="C23">
        <v>1122</v>
      </c>
    </row>
    <row r="24" spans="1:3" ht="16.5" customHeight="1" x14ac:dyDescent="0.15">
      <c r="A24" t="s">
        <v>350</v>
      </c>
      <c r="B24">
        <v>2018</v>
      </c>
      <c r="C24">
        <v>1690</v>
      </c>
    </row>
    <row r="25" spans="1:3" ht="16.5" customHeight="1" x14ac:dyDescent="0.15">
      <c r="A25" t="s">
        <v>350</v>
      </c>
      <c r="B25">
        <v>2019</v>
      </c>
      <c r="C25">
        <v>1775</v>
      </c>
    </row>
    <row r="26" spans="1:3" ht="16.5" customHeight="1" x14ac:dyDescent="0.15">
      <c r="A26" t="s">
        <v>350</v>
      </c>
      <c r="B26">
        <v>2020</v>
      </c>
      <c r="C26">
        <v>3191</v>
      </c>
    </row>
    <row r="27" spans="1:3" ht="16.5" customHeight="1" x14ac:dyDescent="0.15">
      <c r="A27" t="s">
        <v>343</v>
      </c>
      <c r="B27">
        <v>2015</v>
      </c>
      <c r="C27">
        <v>527</v>
      </c>
    </row>
    <row r="28" spans="1:3" ht="16.5" customHeight="1" x14ac:dyDescent="0.15">
      <c r="A28" t="s">
        <v>343</v>
      </c>
      <c r="B28">
        <v>2016</v>
      </c>
      <c r="C28">
        <v>3662</v>
      </c>
    </row>
    <row r="29" spans="1:3" ht="16.5" customHeight="1" x14ac:dyDescent="0.15">
      <c r="A29" t="s">
        <v>343</v>
      </c>
      <c r="B29">
        <v>2017</v>
      </c>
      <c r="C29">
        <v>1823</v>
      </c>
    </row>
    <row r="30" spans="1:3" ht="16.5" customHeight="1" x14ac:dyDescent="0.15">
      <c r="A30" t="s">
        <v>343</v>
      </c>
      <c r="B30">
        <v>2018</v>
      </c>
      <c r="C30">
        <v>4475</v>
      </c>
    </row>
    <row r="31" spans="1:3" ht="16.5" customHeight="1" x14ac:dyDescent="0.15">
      <c r="A31" t="s">
        <v>343</v>
      </c>
      <c r="B31">
        <v>2019</v>
      </c>
      <c r="C31">
        <v>2480</v>
      </c>
    </row>
    <row r="32" spans="1:3" ht="16.5" customHeight="1" x14ac:dyDescent="0.15">
      <c r="A32" t="s">
        <v>343</v>
      </c>
      <c r="B32">
        <v>2020</v>
      </c>
      <c r="C32">
        <v>2814</v>
      </c>
    </row>
    <row r="33" spans="1:3" ht="16.5" customHeight="1" x14ac:dyDescent="0.15">
      <c r="A33" t="s">
        <v>344</v>
      </c>
      <c r="B33">
        <v>2015</v>
      </c>
      <c r="C33">
        <v>1403</v>
      </c>
    </row>
    <row r="34" spans="1:3" ht="16.5" customHeight="1" x14ac:dyDescent="0.15">
      <c r="A34" t="s">
        <v>344</v>
      </c>
      <c r="B34">
        <v>2016</v>
      </c>
      <c r="C34">
        <v>3781</v>
      </c>
    </row>
    <row r="35" spans="1:3" ht="16.5" customHeight="1" x14ac:dyDescent="0.15">
      <c r="A35" t="s">
        <v>344</v>
      </c>
      <c r="B35">
        <v>2017</v>
      </c>
      <c r="C35">
        <v>517</v>
      </c>
    </row>
    <row r="36" spans="1:3" ht="16.5" customHeight="1" x14ac:dyDescent="0.15">
      <c r="A36" t="s">
        <v>344</v>
      </c>
      <c r="B36">
        <v>2018</v>
      </c>
      <c r="C36">
        <v>3871</v>
      </c>
    </row>
    <row r="37" spans="1:3" ht="16.5" customHeight="1" x14ac:dyDescent="0.15">
      <c r="A37" t="s">
        <v>344</v>
      </c>
      <c r="B37">
        <v>2019</v>
      </c>
      <c r="C37">
        <v>4388</v>
      </c>
    </row>
    <row r="38" spans="1:3" ht="16.5" customHeight="1" x14ac:dyDescent="0.15">
      <c r="A38" t="s">
        <v>344</v>
      </c>
      <c r="B38">
        <v>2020</v>
      </c>
      <c r="C38">
        <v>4179</v>
      </c>
    </row>
    <row r="39" spans="1:3" ht="16.5" customHeight="1" x14ac:dyDescent="0.15">
      <c r="A39" t="s">
        <v>345</v>
      </c>
      <c r="B39">
        <v>2015</v>
      </c>
      <c r="C39">
        <v>4906</v>
      </c>
    </row>
    <row r="40" spans="1:3" ht="16.5" customHeight="1" x14ac:dyDescent="0.15">
      <c r="A40" t="s">
        <v>345</v>
      </c>
      <c r="B40">
        <v>2016</v>
      </c>
      <c r="C40">
        <v>514</v>
      </c>
    </row>
    <row r="41" spans="1:3" ht="16.5" customHeight="1" x14ac:dyDescent="0.15">
      <c r="A41" t="s">
        <v>345</v>
      </c>
      <c r="B41">
        <v>2017</v>
      </c>
      <c r="C41">
        <v>2336</v>
      </c>
    </row>
    <row r="42" spans="1:3" ht="16.5" customHeight="1" x14ac:dyDescent="0.15">
      <c r="A42" t="s">
        <v>345</v>
      </c>
      <c r="B42">
        <v>2018</v>
      </c>
      <c r="C42">
        <v>1406</v>
      </c>
    </row>
    <row r="43" spans="1:3" ht="16.5" customHeight="1" x14ac:dyDescent="0.15">
      <c r="A43" t="s">
        <v>345</v>
      </c>
      <c r="B43">
        <v>2019</v>
      </c>
      <c r="C43">
        <v>3939</v>
      </c>
    </row>
    <row r="44" spans="1:3" ht="16.5" customHeight="1" x14ac:dyDescent="0.15">
      <c r="A44" t="s">
        <v>345</v>
      </c>
      <c r="B44">
        <v>2020</v>
      </c>
      <c r="C44">
        <v>955</v>
      </c>
    </row>
    <row r="45" spans="1:3" ht="16.5" customHeight="1" x14ac:dyDescent="0.15">
      <c r="A45" t="s">
        <v>346</v>
      </c>
      <c r="B45">
        <v>2015</v>
      </c>
      <c r="C45">
        <v>3466</v>
      </c>
    </row>
    <row r="46" spans="1:3" ht="16.5" customHeight="1" x14ac:dyDescent="0.15">
      <c r="A46" t="s">
        <v>346</v>
      </c>
      <c r="B46">
        <v>2016</v>
      </c>
      <c r="C46">
        <v>3145</v>
      </c>
    </row>
    <row r="47" spans="1:3" ht="16.5" customHeight="1" x14ac:dyDescent="0.15">
      <c r="A47" t="s">
        <v>346</v>
      </c>
      <c r="B47">
        <v>2017</v>
      </c>
      <c r="C47">
        <v>2501</v>
      </c>
    </row>
    <row r="48" spans="1:3" ht="16.5" customHeight="1" x14ac:dyDescent="0.15">
      <c r="A48" t="s">
        <v>346</v>
      </c>
      <c r="B48">
        <v>2018</v>
      </c>
      <c r="C48">
        <v>675</v>
      </c>
    </row>
    <row r="49" spans="1:3" ht="16.5" customHeight="1" x14ac:dyDescent="0.15">
      <c r="A49" t="s">
        <v>346</v>
      </c>
      <c r="B49">
        <v>2019</v>
      </c>
      <c r="C49">
        <v>576</v>
      </c>
    </row>
    <row r="50" spans="1:3" ht="16.5" customHeight="1" x14ac:dyDescent="0.15">
      <c r="A50" t="s">
        <v>346</v>
      </c>
      <c r="B50">
        <v>2020</v>
      </c>
      <c r="C50">
        <v>3733</v>
      </c>
    </row>
    <row r="51" spans="1:3" ht="16.5" customHeight="1" x14ac:dyDescent="0.15">
      <c r="A51" t="s">
        <v>347</v>
      </c>
      <c r="B51">
        <v>2015</v>
      </c>
      <c r="C51">
        <v>3886</v>
      </c>
    </row>
    <row r="52" spans="1:3" ht="16.5" customHeight="1" x14ac:dyDescent="0.15">
      <c r="A52" t="s">
        <v>347</v>
      </c>
      <c r="B52">
        <v>2016</v>
      </c>
      <c r="C52">
        <v>4042</v>
      </c>
    </row>
    <row r="53" spans="1:3" ht="16.5" customHeight="1" x14ac:dyDescent="0.15">
      <c r="A53" t="s">
        <v>347</v>
      </c>
      <c r="B53">
        <v>2017</v>
      </c>
      <c r="C53">
        <v>2043</v>
      </c>
    </row>
    <row r="54" spans="1:3" ht="16.5" customHeight="1" x14ac:dyDescent="0.15">
      <c r="A54" t="s">
        <v>347</v>
      </c>
      <c r="B54">
        <v>2018</v>
      </c>
      <c r="C54">
        <v>3306</v>
      </c>
    </row>
    <row r="55" spans="1:3" ht="16.5" customHeight="1" x14ac:dyDescent="0.15">
      <c r="A55" t="s">
        <v>347</v>
      </c>
      <c r="B55">
        <v>2019</v>
      </c>
      <c r="C55">
        <v>759</v>
      </c>
    </row>
    <row r="56" spans="1:3" ht="16.5" customHeight="1" x14ac:dyDescent="0.15">
      <c r="A56" t="s">
        <v>347</v>
      </c>
      <c r="B56">
        <v>2020</v>
      </c>
      <c r="C56">
        <v>1330</v>
      </c>
    </row>
    <row r="57" spans="1:3" ht="16.5" customHeight="1" x14ac:dyDescent="0.15">
      <c r="A57" t="s">
        <v>348</v>
      </c>
      <c r="B57">
        <v>2015</v>
      </c>
      <c r="C57">
        <v>2340</v>
      </c>
    </row>
    <row r="58" spans="1:3" ht="16.5" customHeight="1" x14ac:dyDescent="0.15">
      <c r="A58" t="s">
        <v>348</v>
      </c>
      <c r="B58">
        <v>2016</v>
      </c>
      <c r="C58">
        <v>2175</v>
      </c>
    </row>
    <row r="59" spans="1:3" ht="16.5" customHeight="1" x14ac:dyDescent="0.15">
      <c r="A59" t="s">
        <v>348</v>
      </c>
      <c r="B59">
        <v>2017</v>
      </c>
      <c r="C59">
        <v>3886</v>
      </c>
    </row>
    <row r="60" spans="1:3" ht="16.5" customHeight="1" x14ac:dyDescent="0.15">
      <c r="A60" t="s">
        <v>348</v>
      </c>
      <c r="B60">
        <v>2018</v>
      </c>
      <c r="C60">
        <v>1392</v>
      </c>
    </row>
    <row r="61" spans="1:3" ht="16.5" customHeight="1" x14ac:dyDescent="0.15">
      <c r="A61" t="s">
        <v>348</v>
      </c>
      <c r="B61">
        <v>2019</v>
      </c>
      <c r="C61">
        <v>2313</v>
      </c>
    </row>
    <row r="62" spans="1:3" ht="16.5" customHeight="1" x14ac:dyDescent="0.15">
      <c r="A62" t="s">
        <v>348</v>
      </c>
      <c r="B62">
        <v>2020</v>
      </c>
      <c r="C62">
        <v>2078</v>
      </c>
    </row>
    <row r="63" spans="1:3" ht="16.5" customHeight="1" x14ac:dyDescent="0.15">
      <c r="A63" t="s">
        <v>349</v>
      </c>
      <c r="B63">
        <v>2015</v>
      </c>
      <c r="C63">
        <v>3541</v>
      </c>
    </row>
    <row r="64" spans="1:3" ht="16.5" customHeight="1" x14ac:dyDescent="0.15">
      <c r="A64" t="s">
        <v>349</v>
      </c>
      <c r="B64">
        <v>2016</v>
      </c>
      <c r="C64">
        <v>1452</v>
      </c>
    </row>
    <row r="65" spans="1:3" ht="16.5" customHeight="1" x14ac:dyDescent="0.15">
      <c r="A65" t="s">
        <v>349</v>
      </c>
      <c r="B65">
        <v>2017</v>
      </c>
      <c r="C65">
        <v>1762</v>
      </c>
    </row>
    <row r="66" spans="1:3" ht="16.5" customHeight="1" x14ac:dyDescent="0.15">
      <c r="A66" t="s">
        <v>349</v>
      </c>
      <c r="B66">
        <v>2018</v>
      </c>
      <c r="C66">
        <v>3840</v>
      </c>
    </row>
    <row r="67" spans="1:3" ht="16.5" customHeight="1" x14ac:dyDescent="0.15">
      <c r="A67" t="s">
        <v>349</v>
      </c>
      <c r="B67">
        <v>2019</v>
      </c>
      <c r="C67">
        <v>2302</v>
      </c>
    </row>
    <row r="68" spans="1:3" ht="16.5" customHeight="1" x14ac:dyDescent="0.15">
      <c r="A68" t="s">
        <v>349</v>
      </c>
      <c r="B68">
        <v>2020</v>
      </c>
      <c r="C68">
        <v>1538</v>
      </c>
    </row>
    <row r="69" spans="1:3" ht="16.5" customHeight="1" x14ac:dyDescent="0.15">
      <c r="A69" t="s">
        <v>351</v>
      </c>
      <c r="B69">
        <v>2015</v>
      </c>
      <c r="C69">
        <v>3828</v>
      </c>
    </row>
    <row r="70" spans="1:3" ht="16.5" customHeight="1" x14ac:dyDescent="0.15">
      <c r="A70" t="s">
        <v>351</v>
      </c>
      <c r="B70">
        <v>2016</v>
      </c>
      <c r="C70">
        <v>3714</v>
      </c>
    </row>
    <row r="71" spans="1:3" ht="16.5" customHeight="1" x14ac:dyDescent="0.15">
      <c r="A71" t="s">
        <v>351</v>
      </c>
      <c r="B71">
        <v>2017</v>
      </c>
      <c r="C71">
        <v>4710</v>
      </c>
    </row>
    <row r="72" spans="1:3" ht="16.5" customHeight="1" x14ac:dyDescent="0.15">
      <c r="A72" t="s">
        <v>351</v>
      </c>
      <c r="B72">
        <v>2018</v>
      </c>
      <c r="C72">
        <v>1630</v>
      </c>
    </row>
    <row r="73" spans="1:3" ht="16.5" customHeight="1" x14ac:dyDescent="0.15">
      <c r="A73" t="s">
        <v>351</v>
      </c>
      <c r="B73">
        <v>2019</v>
      </c>
      <c r="C73">
        <v>2871</v>
      </c>
    </row>
    <row r="74" spans="1:3" ht="16.5" customHeight="1" x14ac:dyDescent="0.15">
      <c r="A74" t="s">
        <v>351</v>
      </c>
      <c r="B74">
        <v>2020</v>
      </c>
      <c r="C74">
        <v>4293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main</vt:lpstr>
      <vt:lpstr>sql</vt:lpstr>
      <vt:lpstr>myTEXTJOIN</vt:lpstr>
      <vt:lpstr>myRANDARRAY</vt:lpstr>
      <vt:lpstr>myXLOOKUP</vt:lpstr>
      <vt:lpstr>myUNIQUE</vt:lpstr>
      <vt:lpstr>myFILTER</vt:lpstr>
      <vt:lpstr>mySORT</vt:lpstr>
      <vt:lpstr>mySEQUENCE</vt:lpstr>
      <vt:lpstr>mySUMVALUE</vt:lpstr>
      <vt:lpstr>myNDimension</vt:lpstr>
      <vt:lpstr>myFAKER</vt:lpstr>
      <vt:lpstr>mySTACK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祝超伟</dc:creator>
  <cp:lastModifiedBy>祝超伟</cp:lastModifiedBy>
  <dcterms:created xsi:type="dcterms:W3CDTF">2020-03-18T02:12:50Z</dcterms:created>
  <dcterms:modified xsi:type="dcterms:W3CDTF">2021-07-23T07:05:40Z</dcterms:modified>
</cp:coreProperties>
</file>